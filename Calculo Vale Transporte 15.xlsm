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mc:AlternateContent xmlns:mc="http://schemas.openxmlformats.org/markup-compatibility/2006">
    <mc:Choice Requires="x15">
      <x15ac:absPath xmlns:x15ac="http://schemas.microsoft.com/office/spreadsheetml/2010/11/ac" url="C:\Users\Dilas\Documents\Vale Transporte Cálculo\Xlsx\"/>
    </mc:Choice>
  </mc:AlternateContent>
  <xr:revisionPtr revIDLastSave="0" documentId="13_ncr:1_{045C1C24-B0F3-4FBA-BEDF-29ACD0ADAE13}" xr6:coauthVersionLast="46" xr6:coauthVersionMax="46" xr10:uidLastSave="{00000000-0000-0000-0000-000000000000}"/>
  <bookViews>
    <workbookView xWindow="-110" yWindow="-110" windowWidth="19420" windowHeight="10420" tabRatio="850" activeTab="1" xr2:uid="{00000000-000D-0000-FFFF-FFFF00000000}"/>
  </bookViews>
  <sheets>
    <sheet name="MENU" sheetId="1" r:id="rId1"/>
    <sheet name="VALE TRANSPORTES CÁLCULO" sheetId="2" r:id="rId2"/>
    <sheet name="RELATÓRIO VALES" sheetId="3" r:id="rId3"/>
    <sheet name="CLT - TÓPICOS IMPORTANTES" sheetId="4" r:id="rId4"/>
    <sheet name="ATOS JUSTA CAUSA - Descritivo" sheetId="5" r:id="rId5"/>
  </sheets>
  <definedNames>
    <definedName name="_xlnm.Print_Area" localSheetId="2">'RELATÓRIO VALES'!$A$1:$F$27</definedName>
    <definedName name="CLT_USO_INDEVIDO_VT">'CLT - TÓPICOS IMPORTANTES'!$A$3</definedName>
    <definedName name="DEMISSÃO_JUSTA_CAUSA">'CLT - TÓPICOS IMPORTANTES'!$A$34</definedName>
    <definedName name="JUSTA_CAUSA_Descritivo">'ATOS JUSTA CAUSA - Descritivo'!$A$93</definedName>
    <definedName name="LANCHE_REFEIÇÃO">'CLT - TÓPICOS IMPORTANTES'!$A$3</definedName>
    <definedName name="PRINCIPAL_LANÇAMENTO">'VALE TRANSPORTES CÁLCULO'!$A$5</definedName>
    <definedName name="RELATORIO_VT">'RELATÓRIO VALES'!$A$4</definedName>
  </definedNames>
  <calcPr calcId="191029"/>
  <extLst>
    <ext xmlns:loext="http://schemas.libreoffice.org/" uri="{7626C862-2A13-11E5-B345-FEFF819CDC9F}">
      <loext:extCalcPr stringRefSyntax="CalcA1ExcelA1"/>
    </ext>
  </extLst>
</workbook>
</file>

<file path=xl/calcChain.xml><?xml version="1.0" encoding="utf-8"?>
<calcChain xmlns="http://schemas.openxmlformats.org/spreadsheetml/2006/main">
  <c r="E12" i="2" l="1"/>
  <c r="E13" i="2"/>
  <c r="E14" i="2"/>
  <c r="E15" i="2"/>
  <c r="E16" i="2"/>
  <c r="K16" i="2" s="1"/>
  <c r="C14" i="3" s="1"/>
  <c r="E17" i="2"/>
  <c r="E18" i="2"/>
  <c r="E19" i="2"/>
  <c r="E20" i="2"/>
  <c r="K20" i="2" s="1"/>
  <c r="E21" i="2"/>
  <c r="K21" i="2" s="1"/>
  <c r="C19" i="3" s="1"/>
  <c r="E22" i="2"/>
  <c r="E23" i="2"/>
  <c r="E24" i="2"/>
  <c r="K24" i="2" s="1"/>
  <c r="C22" i="3" s="1"/>
  <c r="E25" i="2"/>
  <c r="E26" i="2"/>
  <c r="E27" i="2"/>
  <c r="K27" i="2" s="1"/>
  <c r="C25" i="3" s="1"/>
  <c r="E28" i="2"/>
  <c r="K28" i="2" s="1"/>
  <c r="C26" i="3" s="1"/>
  <c r="E29" i="2"/>
  <c r="K29" i="2" s="1"/>
  <c r="C27" i="3" s="1"/>
  <c r="E30" i="2"/>
  <c r="E31" i="2"/>
  <c r="E32" i="2"/>
  <c r="K32" i="2" s="1"/>
  <c r="E33" i="2"/>
  <c r="K33" i="2" s="1"/>
  <c r="E34" i="2"/>
  <c r="E35" i="2"/>
  <c r="E36" i="2"/>
  <c r="K36" i="2" s="1"/>
  <c r="E37" i="2"/>
  <c r="E38" i="2"/>
  <c r="E39" i="2"/>
  <c r="E40" i="2"/>
  <c r="K40" i="2" s="1"/>
  <c r="E41" i="2"/>
  <c r="E42" i="2"/>
  <c r="E43" i="2"/>
  <c r="K43" i="2" s="1"/>
  <c r="E44" i="2"/>
  <c r="K44" i="2" s="1"/>
  <c r="E45" i="2"/>
  <c r="K45" i="2" s="1"/>
  <c r="E46" i="2"/>
  <c r="E47" i="2"/>
  <c r="E48" i="2"/>
  <c r="K48" i="2" s="1"/>
  <c r="E49" i="2"/>
  <c r="K49" i="2" s="1"/>
  <c r="E50" i="2"/>
  <c r="E51" i="2"/>
  <c r="E52" i="2"/>
  <c r="K52" i="2" s="1"/>
  <c r="E53" i="2"/>
  <c r="K53" i="2" s="1"/>
  <c r="E54" i="2"/>
  <c r="E55" i="2"/>
  <c r="E56" i="2"/>
  <c r="K56" i="2" s="1"/>
  <c r="E57" i="2"/>
  <c r="E58" i="2"/>
  <c r="E59" i="2"/>
  <c r="K59" i="2" s="1"/>
  <c r="E60" i="2"/>
  <c r="K60" i="2" s="1"/>
  <c r="E61" i="2"/>
  <c r="K61" i="2" s="1"/>
  <c r="E62" i="2"/>
  <c r="E63" i="2"/>
  <c r="E64" i="2"/>
  <c r="K64" i="2" s="1"/>
  <c r="E65" i="2"/>
  <c r="K65" i="2" s="1"/>
  <c r="E66" i="2"/>
  <c r="E67" i="2"/>
  <c r="E68" i="2"/>
  <c r="K68" i="2" s="1"/>
  <c r="E69" i="2"/>
  <c r="E70" i="2"/>
  <c r="E71" i="2"/>
  <c r="E72" i="2"/>
  <c r="K72" i="2" s="1"/>
  <c r="E73" i="2"/>
  <c r="E74" i="2"/>
  <c r="E75" i="2"/>
  <c r="K75" i="2" s="1"/>
  <c r="E76" i="2"/>
  <c r="K76" i="2" s="1"/>
  <c r="E77" i="2"/>
  <c r="K77" i="2" s="1"/>
  <c r="E78" i="2"/>
  <c r="E79" i="2"/>
  <c r="E80" i="2"/>
  <c r="K80" i="2" s="1"/>
  <c r="E81" i="2"/>
  <c r="K81" i="2" s="1"/>
  <c r="E82" i="2"/>
  <c r="E83" i="2"/>
  <c r="E84" i="2"/>
  <c r="K84" i="2" s="1"/>
  <c r="E85" i="2"/>
  <c r="K85" i="2" s="1"/>
  <c r="E86" i="2"/>
  <c r="E87" i="2"/>
  <c r="E88" i="2"/>
  <c r="K88" i="2" s="1"/>
  <c r="E89" i="2"/>
  <c r="E90" i="2"/>
  <c r="E91" i="2"/>
  <c r="K91" i="2" s="1"/>
  <c r="E92" i="2"/>
  <c r="K92" i="2" s="1"/>
  <c r="E93" i="2"/>
  <c r="K93" i="2" s="1"/>
  <c r="E94" i="2"/>
  <c r="E95" i="2"/>
  <c r="E96" i="2"/>
  <c r="K96" i="2" s="1"/>
  <c r="E97" i="2"/>
  <c r="K97" i="2" s="1"/>
  <c r="E98" i="2"/>
  <c r="E99" i="2"/>
  <c r="E100" i="2"/>
  <c r="K100" i="2" s="1"/>
  <c r="E101" i="2"/>
  <c r="E102" i="2"/>
  <c r="E103" i="2"/>
  <c r="E11" i="2"/>
  <c r="B9" i="3" s="1"/>
  <c r="L1" i="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1" i="2"/>
  <c r="K15" i="2"/>
  <c r="K13" i="2"/>
  <c r="K14" i="2"/>
  <c r="K22" i="2"/>
  <c r="K23" i="2"/>
  <c r="C21" i="3" s="1"/>
  <c r="K25" i="2"/>
  <c r="C23" i="3" s="1"/>
  <c r="K26" i="2"/>
  <c r="K30" i="2"/>
  <c r="K31" i="2"/>
  <c r="K34" i="2"/>
  <c r="K35" i="2"/>
  <c r="K37" i="2"/>
  <c r="K38" i="2"/>
  <c r="K39" i="2"/>
  <c r="K41" i="2"/>
  <c r="K42" i="2"/>
  <c r="K46" i="2"/>
  <c r="K47" i="2"/>
  <c r="K50" i="2"/>
  <c r="K51" i="2"/>
  <c r="K54" i="2"/>
  <c r="K55" i="2"/>
  <c r="K57" i="2"/>
  <c r="K58" i="2"/>
  <c r="K62" i="2"/>
  <c r="K63" i="2"/>
  <c r="K66" i="2"/>
  <c r="K67" i="2"/>
  <c r="K69" i="2"/>
  <c r="K70" i="2"/>
  <c r="K71" i="2"/>
  <c r="K73" i="2"/>
  <c r="K74" i="2"/>
  <c r="K78" i="2"/>
  <c r="K79" i="2"/>
  <c r="K82" i="2"/>
  <c r="K83" i="2"/>
  <c r="K86" i="2"/>
  <c r="K87" i="2"/>
  <c r="K89" i="2"/>
  <c r="K90" i="2"/>
  <c r="K94" i="2"/>
  <c r="K95" i="2"/>
  <c r="K98" i="2"/>
  <c r="K99" i="2"/>
  <c r="K101" i="2"/>
  <c r="K102" i="2"/>
  <c r="K103" i="2"/>
  <c r="L10" i="2"/>
  <c r="B27" i="3"/>
  <c r="A27" i="3"/>
  <c r="B26" i="3"/>
  <c r="A26" i="3"/>
  <c r="B25" i="3"/>
  <c r="A25" i="3"/>
  <c r="B24" i="3"/>
  <c r="A24" i="3"/>
  <c r="B23" i="3"/>
  <c r="A23" i="3"/>
  <c r="B22" i="3"/>
  <c r="A22" i="3"/>
  <c r="B21" i="3"/>
  <c r="A21" i="3"/>
  <c r="B20" i="3"/>
  <c r="A20" i="3"/>
  <c r="B19" i="3"/>
  <c r="A19" i="3"/>
  <c r="B18" i="3"/>
  <c r="A18" i="3"/>
  <c r="B17" i="3"/>
  <c r="A17" i="3"/>
  <c r="B16" i="3"/>
  <c r="A16" i="3"/>
  <c r="B15" i="3"/>
  <c r="A15" i="3"/>
  <c r="B14" i="3"/>
  <c r="A14" i="3"/>
  <c r="A13" i="3"/>
  <c r="A12" i="3"/>
  <c r="A11" i="3"/>
  <c r="A10" i="3"/>
  <c r="A9" i="3"/>
  <c r="F5" i="3"/>
  <c r="E5" i="3"/>
  <c r="C5" i="3"/>
  <c r="B5" i="3"/>
  <c r="E2" i="3"/>
  <c r="E1" i="3"/>
  <c r="C20" i="3"/>
  <c r="K19" i="2"/>
  <c r="C17" i="3" s="1"/>
  <c r="K18" i="2"/>
  <c r="K17" i="2"/>
  <c r="B13" i="3"/>
  <c r="B11" i="3"/>
  <c r="B10" i="3"/>
  <c r="A3" i="1"/>
  <c r="K12" i="2" l="1"/>
  <c r="K11" i="2"/>
  <c r="C9" i="3" s="1"/>
  <c r="C15" i="3"/>
  <c r="C24" i="3"/>
  <c r="C11" i="3"/>
  <c r="C10" i="3"/>
  <c r="C18" i="3"/>
  <c r="C12" i="3"/>
  <c r="C16" i="3"/>
  <c r="C13" i="3"/>
  <c r="B12" i="3"/>
  <c r="L9" i="2" l="1"/>
  <c r="E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Dilas</author>
    <author>DILAS MARTINS REIS</author>
  </authors>
  <commentList>
    <comment ref="J2" authorId="0" shapeId="0" xr:uid="{E8F58343-C171-4841-B2A3-0361943EE050}">
      <text>
        <r>
          <rPr>
            <b/>
            <sz val="9"/>
            <color indexed="81"/>
            <rFont val="Segoe UI"/>
            <family val="2"/>
          </rPr>
          <t>Dilas: Razão Social da Empresa.</t>
        </r>
        <r>
          <rPr>
            <sz val="9"/>
            <color indexed="81"/>
            <rFont val="Segoe UI"/>
            <family val="2"/>
          </rPr>
          <t xml:space="preserve">
</t>
        </r>
      </text>
    </comment>
    <comment ref="A5" authorId="1" shapeId="0" xr:uid="{00000000-0006-0000-0100-000001000000}">
      <text>
        <r>
          <rPr>
            <sz val="10"/>
            <rFont val="Arial"/>
            <family val="2"/>
          </rPr>
          <t>Ano Atual</t>
        </r>
      </text>
    </comment>
    <comment ref="G5" authorId="1" shapeId="0" xr:uid="{00000000-0006-0000-0100-000007000000}">
      <text>
        <r>
          <rPr>
            <sz val="10"/>
            <rFont val="Arial"/>
            <family val="2"/>
          </rPr>
          <t>Mês e ano de referência.</t>
        </r>
      </text>
    </comment>
    <comment ref="A8" authorId="1" shapeId="0" xr:uid="{00000000-0006-0000-0100-000002000000}">
      <text>
        <r>
          <rPr>
            <sz val="10"/>
            <rFont val="Arial"/>
            <family val="2"/>
          </rPr>
          <t>Inserir nesta coluna o nome dos funcionários que usam Vale Transporte.</t>
        </r>
      </text>
    </comment>
    <comment ref="B8" authorId="1" shapeId="0" xr:uid="{00000000-0006-0000-0100-000003000000}">
      <text>
        <r>
          <rPr>
            <sz val="10"/>
            <rFont val="Arial"/>
            <family val="2"/>
          </rPr>
          <t>Número de vales transportes utilizados por dia individualmente por cada empregado.</t>
        </r>
      </text>
    </comment>
    <comment ref="C8" authorId="1" shapeId="0" xr:uid="{00000000-0006-0000-0100-000004000000}">
      <text>
        <r>
          <rPr>
            <sz val="10"/>
            <rFont val="Arial"/>
            <family val="2"/>
          </rPr>
          <t>Número de vales usado por cada funcionário nos dias de sábados.</t>
        </r>
      </text>
    </comment>
    <comment ref="E8" authorId="1" shapeId="0" xr:uid="{00000000-0006-0000-0100-000005000000}">
      <text>
        <r>
          <rPr>
            <sz val="10"/>
            <rFont val="Arial"/>
            <family val="2"/>
          </rPr>
          <t>Início do período para cálculo dos VT</t>
        </r>
      </text>
    </comment>
    <comment ref="F8" authorId="1" shapeId="0" xr:uid="{00000000-0006-0000-0100-000006000000}">
      <text>
        <r>
          <rPr>
            <sz val="10"/>
            <rFont val="Arial"/>
            <family val="2"/>
          </rPr>
          <t>Final do período para cálculo dos VT</t>
        </r>
      </text>
    </comment>
    <comment ref="G8" authorId="1" shapeId="0" xr:uid="{00000000-0006-0000-0100-000008000000}">
      <text>
        <r>
          <rPr>
            <sz val="10"/>
            <rFont val="Arial"/>
            <family val="2"/>
          </rPr>
          <t>Feriados e domingos do período do cálculo.</t>
        </r>
      </text>
    </comment>
    <comment ref="H8" authorId="1" shapeId="0" xr:uid="{00000000-0006-0000-0100-000009000000}">
      <text>
        <r>
          <rPr>
            <sz val="10"/>
            <rFont val="Arial"/>
            <family val="2"/>
          </rPr>
          <t xml:space="preserve">Caso tenha saldo positivo no cartão, informar quantos dias ainda faltam para usar vales do SALDO POSITIVO.
</t>
        </r>
      </text>
    </comment>
    <comment ref="I8" authorId="1" shapeId="0" xr:uid="{00000000-0006-0000-0100-00000A000000}">
      <text>
        <r>
          <rPr>
            <sz val="10"/>
            <rFont val="Arial"/>
            <family val="2"/>
          </rPr>
          <t>Saldo informado pelo usuário através do cartão – Emitido no transporte coletivo.</t>
        </r>
      </text>
    </comment>
    <comment ref="J8" authorId="1" shapeId="0" xr:uid="{00000000-0006-0000-0100-00000B000000}">
      <text>
        <r>
          <rPr>
            <sz val="10"/>
            <rFont val="Arial"/>
            <family val="2"/>
          </rPr>
          <t>Saldo de vales não utilizador, é abatido do valor a receber. Cfe CLT.</t>
        </r>
      </text>
    </comment>
    <comment ref="G9" authorId="0" shapeId="0" xr:uid="{6E5A7D2D-6CB1-4262-857F-79390C3A5F8A}">
      <text>
        <r>
          <rPr>
            <b/>
            <sz val="9"/>
            <color indexed="81"/>
            <rFont val="Segoe UI"/>
            <family val="2"/>
          </rPr>
          <t>Dilas:</t>
        </r>
        <r>
          <rPr>
            <sz val="9"/>
            <color indexed="81"/>
            <rFont val="Segoe UI"/>
            <family val="2"/>
          </rPr>
          <t xml:space="preserve">
Domingos + Feriados</t>
        </r>
      </text>
    </comment>
    <comment ref="K9" authorId="1" shapeId="0" xr:uid="{00000000-0006-0000-0100-00000C000000}">
      <text>
        <r>
          <rPr>
            <sz val="10"/>
            <rFont val="Arial"/>
            <family val="2"/>
          </rPr>
          <t>Valor atualizado da passagem de Ônibus Coletivo.</t>
        </r>
      </text>
    </comment>
  </commentList>
</comments>
</file>

<file path=xl/sharedStrings.xml><?xml version="1.0" encoding="utf-8"?>
<sst xmlns="http://schemas.openxmlformats.org/spreadsheetml/2006/main" count="171" uniqueCount="170">
  <si>
    <t>*EMPRESA:</t>
  </si>
  <si>
    <t>SIDIAL FERRAGENS</t>
  </si>
  <si>
    <t>Caixa de Nomes</t>
  </si>
  <si>
    <t>*CNPJ:</t>
  </si>
  <si>
    <t xml:space="preserve"> Esta Planilha obedece rigorosamente Art. 455 da CLT</t>
  </si>
  <si>
    <r>
      <rPr>
        <sz val="10"/>
        <rFont val="Arial"/>
        <family val="2"/>
      </rPr>
      <t xml:space="preserve">       </t>
    </r>
    <r>
      <rPr>
        <sz val="10"/>
        <color rgb="FF5983B0"/>
        <rFont val="Arial"/>
        <family val="2"/>
      </rPr>
      <t xml:space="preserve">    Ano corrente</t>
    </r>
  </si>
  <si>
    <t>Mês e ano</t>
  </si>
  <si>
    <t>Julho/26</t>
  </si>
  <si>
    <t>*Nº Vales usados</t>
  </si>
  <si>
    <t>Nº de Sáb</t>
  </si>
  <si>
    <t>*Domingos &amp;</t>
  </si>
  <si>
    <t>Dias do Período</t>
  </si>
  <si>
    <t>Saldo</t>
  </si>
  <si>
    <t xml:space="preserve">*VALOR DO </t>
  </si>
  <si>
    <t>*NOME</t>
  </si>
  <si>
    <t>Segunda ao dia</t>
  </si>
  <si>
    <t>SÁBADOS</t>
  </si>
  <si>
    <t>no período.</t>
  </si>
  <si>
    <t>*Data inicial</t>
  </si>
  <si>
    <t>*Data Final</t>
  </si>
  <si>
    <t>Feriados</t>
  </si>
  <si>
    <t>Anterior</t>
  </si>
  <si>
    <t>Vale R$</t>
  </si>
  <si>
    <t>Saldo Valor</t>
  </si>
  <si>
    <t>VALE TRANSP</t>
  </si>
  <si>
    <t>*VALOR TOTAL</t>
  </si>
  <si>
    <t>Qtd. Vales:</t>
  </si>
  <si>
    <t>Valor líquido Indiv.</t>
  </si>
  <si>
    <t>ANDREIA</t>
  </si>
  <si>
    <t>DIULIA</t>
  </si>
  <si>
    <t>JEREMIAS</t>
  </si>
  <si>
    <t>MARIA FRANCISCA</t>
  </si>
  <si>
    <t>RAQUEL</t>
  </si>
  <si>
    <t xml:space="preserve">RELATÓRIO DE VALE TRANSPORTE </t>
  </si>
  <si>
    <t>Valor passagem</t>
  </si>
  <si>
    <t>Período</t>
  </si>
  <si>
    <t>A</t>
  </si>
  <si>
    <t>Nomes:</t>
  </si>
  <si>
    <t>Qtd de Vales</t>
  </si>
  <si>
    <t>Valor Creditado</t>
  </si>
  <si>
    <t>Valor Total</t>
  </si>
  <si>
    <t>x</t>
  </si>
  <si>
    <t>VALE TRANSPORTE</t>
  </si>
  <si>
    <t>O uso indevido do vale-transporte pode resultar em demissão por justa causa, conforme previsto na legislação trabalhista brasileira.</t>
  </si>
  <si>
    <t xml:space="preserve">O que é o Vale-Transporte? </t>
  </si>
  <si>
    <t xml:space="preserve">O vale-transporte é um benefício concedido pelo empregador para cobrir as despesas de </t>
  </si>
  <si>
    <t xml:space="preserve">deslocamento do trabalhador entre sua residência e o local de trabalho. A concessão desse </t>
  </si>
  <si>
    <r>
      <rPr>
        <sz val="10"/>
        <rFont val="Times New Roman"/>
        <family val="1"/>
      </rPr>
      <t xml:space="preserve">benefício é regulamentada pela </t>
    </r>
    <r>
      <rPr>
        <sz val="12"/>
        <rFont val="Times New Roman"/>
        <family val="1"/>
      </rPr>
      <t>Lei 7.418/1985 e pelo Decreto 95.247/1987</t>
    </r>
    <r>
      <rPr>
        <sz val="10"/>
        <rFont val="Times New Roman"/>
        <family val="1"/>
      </rPr>
      <t xml:space="preserve">, que estabelecem que </t>
    </r>
  </si>
  <si>
    <t xml:space="preserve">o vale-transporte deve ser utilizado exclusivamente para o transporte público coletivo </t>
  </si>
  <si>
    <t xml:space="preserve">Características do Uso Indevido </t>
  </si>
  <si>
    <r>
      <rPr>
        <b/>
        <sz val="10"/>
        <rFont val="Times New Roman"/>
        <family val="1"/>
      </rPr>
      <t>Venda do Vale-Transporte: O empregado que vende o vale-transporte para obter dinheiro ou outras vantagens está cometendo uma irregularidade </t>
    </r>
    <r>
      <rPr>
        <b/>
        <sz val="10"/>
        <color rgb="FF0000FF"/>
        <rFont val="Times New Roman"/>
        <family val="1"/>
      </rPr>
      <t xml:space="preserve"> </t>
    </r>
  </si>
  <si>
    <t xml:space="preserve">Uso para Fins Pessoais: Utilizar o vale-transporte para deslocamentos que não sejam relacionados ao trabalho, como compras pessoais ou visitas a amigos, é uma violação das regras </t>
  </si>
  <si>
    <t xml:space="preserve">Declaração Falsa: Informar um endereço residencial que não corresponde à realidade para obter o benefício também é considerado uso indevido </t>
  </si>
  <si>
    <t xml:space="preserve">Consequências do Uso Indevido </t>
  </si>
  <si>
    <t xml:space="preserve">As consequências do uso indevido do vale-transporte podem incluir: </t>
  </si>
  <si>
    <t xml:space="preserve">Demissão por Justa Causa: O uso inadequado do vale-transporte pode levar à demissão por justa causa, o que implica na perda de direitos trabalhistas, como o seguro-desemprego e o FGTS  </t>
  </si>
  <si>
    <t xml:space="preserve">Advertências e Suspensões: Dependendo da gravidade da infração, o empregado pode receber advertências ou suspensões antes de uma possível demissão </t>
  </si>
  <si>
    <t xml:space="preserve">Processo Trabalhista: O empregado demitido por justa causa pode contestar a demissão em um processo trabalhista, mas a jurisprudência tende a apoiar a demissão em casos de uso indevido comprovado </t>
  </si>
  <si>
    <t xml:space="preserve">Como as Empresas Devem Proceder? </t>
  </si>
  <si>
    <t xml:space="preserve">As empresas devem adotar medidas para coibir o uso indevido do vale-transporte, incluindo: </t>
  </si>
  <si>
    <t xml:space="preserve">Fiscalização: Monitorar o uso do vale-transporte e investigar possíveis irregularidades </t>
  </si>
  <si>
    <t xml:space="preserve">Conscientização: Informar os colaboradores sobre as regras de uso do vale-transporte e as consequências do descumprimento </t>
  </si>
  <si>
    <t xml:space="preserve">Documentação: Manter registros e provas de qualquer infração que justifique a demissão por justa causa </t>
  </si>
  <si>
    <t xml:space="preserve">Em resumo, o uso indevido do vale-transporte é uma questão séria que pode levar a penalidades severas para os empregados, e as empresas devem estar atentas para garantir que o benefício seja utilizado corretamente. </t>
  </si>
  <si>
    <t xml:space="preserve">DEMISSÃO POR JUSTA CAUSA – Artigo 482 da Consolidação das Leis do Trabalho (CLT)  </t>
  </si>
  <si>
    <t>A – Ato de improbidade;</t>
  </si>
  <si>
    <t>B – Incontinência de conduta ou mau procedimento;</t>
  </si>
  <si>
    <t>C – Negociação habitual sem permissão do empregador;</t>
  </si>
  <si>
    <t>D – Condenação criminal do empregado;</t>
  </si>
  <si>
    <t>E – Desídia no desempenho das funções;</t>
  </si>
  <si>
    <t>F – Embriaguez habitual ou em serviço;</t>
  </si>
  <si>
    <t>G – Violação de segredo da empresa;</t>
  </si>
  <si>
    <t>H – Ato de indisciplina ou insubordinação;</t>
  </si>
  <si>
    <t>I – Abandono de emprego;</t>
  </si>
  <si>
    <t>J – Atos lesivos da honra ou da boa fama praticados no serviço;</t>
  </si>
  <si>
    <t>L – Prática constante de jogos de azar;</t>
  </si>
  <si>
    <t>Perda da habilitação ou dos requisitos para o exercício da profissão.Esses motivos são fundamentais para a aplicação da justa causa, que é uma forma severa de rescisão do contrato de trabalho.</t>
  </si>
  <si>
    <t>De acordo com a CLT, Art 71, o intervalo para lanche não é um direito garantido, mas pode ser concedido pelas empresas, especialmente em convenções coletivas.    INTERVALO PARA REIFEIÇÃO &amp; LANCHE.</t>
  </si>
  <si>
    <t>Regras Gerais sobre Intervalos</t>
  </si>
  <si>
    <r>
      <rPr>
        <sz val="12"/>
        <rFont val="Times New Roman"/>
        <family val="1"/>
      </rPr>
      <t>Intervalo para Repouso e Alimentação: Segundo o artigo 71 da CLT, para jornadas de trabalho superiores a 6 horas, é obrigatório um intervalo mínimo de 1 hora e máximo de 2 horas para repouso e alimentação. Para jornadas que ultrapassam 4 horas, mas não chegam a 6, é obrigatório um intervalo de 15 minutos </t>
    </r>
    <r>
      <rPr>
        <sz val="12"/>
        <color rgb="FF0000FF"/>
        <rFont val="Times New Roman"/>
        <family val="1"/>
      </rPr>
      <t>Jusbrasil+1</t>
    </r>
    <r>
      <rPr>
        <sz val="12"/>
        <rFont val="Times New Roman"/>
        <family val="1"/>
      </rPr>
      <t>.</t>
    </r>
  </si>
  <si>
    <r>
      <rPr>
        <sz val="12"/>
        <rFont val="Times New Roman"/>
        <family val="1"/>
      </rPr>
      <t>Intervalo para Lanche: O intervalo para lanche, especificamente, não é uma exigência legal. As empresas não são obrigadas a conceder esse intervalo, a menos que haja uma cláusula em convenção coletiva que o preveja. Portanto, a concessão desse intervalo pode variar de empresa para empresa </t>
    </r>
    <r>
      <rPr>
        <sz val="12"/>
        <color rgb="FF0000FF"/>
        <rFont val="Times New Roman"/>
        <family val="1"/>
      </rPr>
      <t>direitodoempregado.com+1</t>
    </r>
    <r>
      <rPr>
        <sz val="12"/>
        <rFont val="Times New Roman"/>
        <family val="1"/>
      </rPr>
      <t>.</t>
    </r>
  </si>
  <si>
    <r>
      <rPr>
        <sz val="12"/>
        <rFont val="Times New Roman"/>
        <family val="1"/>
      </rPr>
      <t>Importância do Intervalo: Embora não seja um direito garantido, o intervalo para lanche pode ser benéfico para a saúde e bem-estar dos trabalhadores, proporcionando um momento para descanso e alimentação adequada. Isso pode contribuir para a produtividade e a saúde mental dos funcionários </t>
    </r>
    <r>
      <rPr>
        <sz val="12"/>
        <color rgb="FF0000FF"/>
        <rFont val="Times New Roman"/>
        <family val="1"/>
      </rPr>
      <t>genyo.com.br</t>
    </r>
    <r>
      <rPr>
        <sz val="12"/>
        <rFont val="Times New Roman"/>
        <family val="1"/>
      </rPr>
      <t>.</t>
    </r>
  </si>
  <si>
    <t>Considerações Finais</t>
  </si>
  <si>
    <r>
      <rPr>
        <sz val="12"/>
        <rFont val="Times New Roman"/>
        <family val="1"/>
      </rPr>
      <t>Negociações Coletivas: Algumas empresas podem oferecer intervalos para lanche como parte de suas políticas internas ou acordos coletivos. É importante que os trabalhadores estejam cientes de seus direitos e verifiquem se há cláusulas específicas em suas convenções coletivas que garantam esse intervalo </t>
    </r>
    <r>
      <rPr>
        <sz val="12"/>
        <color rgb="FF0000FF"/>
        <rFont val="Times New Roman"/>
        <family val="1"/>
      </rPr>
      <t>direitodoempregado.com+1</t>
    </r>
    <r>
      <rPr>
        <sz val="12"/>
        <rFont val="Times New Roman"/>
        <family val="1"/>
      </rPr>
      <t>.</t>
    </r>
  </si>
  <si>
    <r>
      <rPr>
        <sz val="12"/>
        <rFont val="Times New Roman"/>
        <family val="1"/>
      </rPr>
      <t>Consequências da Não Concessão: A não concessão do intervalo mínimo previsto pela CLT pode resultar em penalidades para a empresa, incluindo a necessidade de compensar os trabalhadores pelo tempo não concedido </t>
    </r>
    <r>
      <rPr>
        <sz val="12"/>
        <color rgb="FF0000FF"/>
        <rFont val="Times New Roman"/>
        <family val="1"/>
      </rPr>
      <t>guiatrabalhista.com.br+1</t>
    </r>
    <r>
      <rPr>
        <sz val="12"/>
        <rFont val="Times New Roman"/>
        <family val="1"/>
      </rPr>
      <t>.</t>
    </r>
  </si>
  <si>
    <t>Em resumo, o intervalo para lanche não é um direito garantido pela CLT, mas pode ser uma prática comum em algumas empresas, dependendo das convenções coletivas e políticas internas. É essencial que os trabalhadores conheçam seus direitos e as normas aplicáveis em suas situações específicas.</t>
  </si>
  <si>
    <t>OBS,: Conforme CLT, os excessos dos 15 minutos nos intervalos de Lanche, serão descontados da jornada diária, assim como os atrasos ou saídas antecipadas de turnos.</t>
  </si>
  <si>
    <t>ATO DE IMPROBIDADE</t>
  </si>
  <si>
    <t>O ato de improbidade é uma conduta desonesta do empregado que quebra a confiança com o empregador e pode justificar a demissão por justa causa, conforme o artigo 482 da CLT.</t>
  </si>
  <si>
    <t>Definição</t>
  </si>
  <si>
    <r>
      <rPr>
        <sz val="12"/>
        <rFont val="Times New Roman"/>
        <family val="1"/>
      </rPr>
      <t>Na Consolidação das Leis do Trabalho (CLT), ato de improbidade refere-se a qualquer ação ou omissão desonesta do empregado que envolva fraude, má-fé ou abuso de confiança, com o objetivo de obter vantagem própria ou para terceiros, causando prejuízos à empresa </t>
    </r>
    <r>
      <rPr>
        <sz val="12"/>
        <color rgb="FF0000FF"/>
        <rFont val="Times New Roman"/>
        <family val="1"/>
      </rPr>
      <t>Pontotel+2</t>
    </r>
    <r>
      <rPr>
        <sz val="12"/>
        <rFont val="Times New Roman"/>
        <family val="1"/>
      </rPr>
      <t>. Trata-se de uma conduta que fere os princípios de lealdade, boa-fé e honestidade esperados na relação de trabalho </t>
    </r>
    <r>
      <rPr>
        <sz val="12"/>
        <color rgb="FF0000FF"/>
        <rFont val="Times New Roman"/>
        <family val="1"/>
      </rPr>
      <t>galvaoesilva.com</t>
    </r>
    <r>
      <rPr>
        <sz val="12"/>
        <rFont val="Times New Roman"/>
        <family val="1"/>
      </rPr>
      <t>.</t>
    </r>
  </si>
  <si>
    <t>Exemplos de Ato de Improbidade</t>
  </si>
  <si>
    <r>
      <rPr>
        <b/>
        <sz val="12"/>
        <rFont val="Times New Roman"/>
        <family val="1"/>
      </rPr>
      <t>Furto ou desvio de valores da empresa, como no caso de um frentista que subtrai dinheiro durante vendas </t>
    </r>
    <r>
      <rPr>
        <b/>
        <sz val="12"/>
        <color rgb="FF0000FF"/>
        <rFont val="Times New Roman"/>
        <family val="1"/>
      </rPr>
      <t>Pontotel</t>
    </r>
    <r>
      <rPr>
        <b/>
        <sz val="12"/>
        <rFont val="Times New Roman"/>
        <family val="1"/>
      </rPr>
      <t>.</t>
    </r>
  </si>
  <si>
    <r>
      <rPr>
        <b/>
        <sz val="12"/>
        <rFont val="Times New Roman"/>
        <family val="1"/>
      </rPr>
      <t>Apresentação de atestado médico falso para justificar ausência ao trabalho </t>
    </r>
    <r>
      <rPr>
        <b/>
        <sz val="12"/>
        <color rgb="FF0000FF"/>
        <rFont val="Times New Roman"/>
        <family val="1"/>
      </rPr>
      <t>Pontotel+1</t>
    </r>
    <r>
      <rPr>
        <b/>
        <sz val="12"/>
        <rFont val="Times New Roman"/>
        <family val="1"/>
      </rPr>
      <t>.</t>
    </r>
  </si>
  <si>
    <r>
      <rPr>
        <b/>
        <sz val="12"/>
        <rFont val="Times New Roman"/>
        <family val="1"/>
      </rPr>
      <t>Uso indevido de recursos da empresa ou manipulação de dados internos </t>
    </r>
    <r>
      <rPr>
        <b/>
        <sz val="12"/>
        <color rgb="FF0000FF"/>
        <rFont val="Times New Roman"/>
        <family val="1"/>
      </rPr>
      <t>solides.com.br+1</t>
    </r>
    <r>
      <rPr>
        <b/>
        <sz val="12"/>
        <rFont val="Times New Roman"/>
        <family val="1"/>
      </rPr>
      <t>.</t>
    </r>
  </si>
  <si>
    <r>
      <rPr>
        <b/>
        <sz val="12"/>
        <rFont val="Times New Roman"/>
        <family val="1"/>
      </rPr>
      <t>Fraudes documentais ou contábeis que causem prejuízo à organização </t>
    </r>
    <r>
      <rPr>
        <b/>
        <sz val="12"/>
        <color rgb="FF0000FF"/>
        <rFont val="Times New Roman"/>
        <family val="1"/>
      </rPr>
      <t>galvaoesilva.com</t>
    </r>
    <r>
      <rPr>
        <b/>
        <sz val="12"/>
        <rFont val="Times New Roman"/>
        <family val="1"/>
      </rPr>
      <t>.</t>
    </r>
  </si>
  <si>
    <t>Base Legal</t>
  </si>
  <si>
    <r>
      <rPr>
        <sz val="12"/>
        <rFont val="Times New Roman"/>
        <family val="1"/>
      </rPr>
      <t>O artigo 482 da CLT, alínea “a”, estabelece que o ato de improbidade é motivo para rescisão do contrato de trabalho por justa causa, ou seja, sem direito a algumas verbas rescisórias </t>
    </r>
    <r>
      <rPr>
        <sz val="12"/>
        <color rgb="FF0000FF"/>
        <rFont val="Times New Roman"/>
        <family val="1"/>
      </rPr>
      <t>Jusbrasil+1</t>
    </r>
    <r>
      <rPr>
        <sz val="12"/>
        <rFont val="Times New Roman"/>
        <family val="1"/>
      </rPr>
      <t>. Ele é considerado uma das faltas mais graves, pois compromete a confiança essencial entre empregado e empregador.</t>
    </r>
  </si>
  <si>
    <t>Consequências</t>
  </si>
  <si>
    <r>
      <rPr>
        <b/>
        <sz val="12"/>
        <rFont val="Times New Roman"/>
        <family val="1"/>
      </rPr>
      <t>Demissão por justa causa, com perda de direitos como aviso prévio, férias proporcionais e 13º salário </t>
    </r>
    <r>
      <rPr>
        <b/>
        <sz val="12"/>
        <color rgb="FF0000FF"/>
        <rFont val="Times New Roman"/>
        <family val="1"/>
      </rPr>
      <t>solides.com.br+1</t>
    </r>
    <r>
      <rPr>
        <b/>
        <sz val="12"/>
        <rFont val="Times New Roman"/>
        <family val="1"/>
      </rPr>
      <t>.</t>
    </r>
  </si>
  <si>
    <r>
      <rPr>
        <sz val="12"/>
        <rFont val="Times New Roman"/>
        <family val="1"/>
      </rPr>
      <t>Possíveis responsabilidades civis, caso haja prejuízo material à empresa </t>
    </r>
    <r>
      <rPr>
        <sz val="12"/>
        <color rgb="FF0000FF"/>
        <rFont val="Times New Roman"/>
        <family val="1"/>
      </rPr>
      <t>galvaoesilva.com</t>
    </r>
    <r>
      <rPr>
        <sz val="12"/>
        <rFont val="Times New Roman"/>
        <family val="1"/>
      </rPr>
      <t>.</t>
    </r>
  </si>
  <si>
    <r>
      <rPr>
        <sz val="12"/>
        <rFont val="Times New Roman"/>
        <family val="1"/>
      </rPr>
      <t>Em casos extremos, dependendo da conduta, pode haver implicações criminais, como em fraudes ou furtos comprovados </t>
    </r>
    <r>
      <rPr>
        <sz val="12"/>
        <color rgb="FF0000FF"/>
        <rFont val="Times New Roman"/>
        <family val="1"/>
      </rPr>
      <t>solides.com.br</t>
    </r>
    <r>
      <rPr>
        <sz val="12"/>
        <rFont val="Times New Roman"/>
        <family val="1"/>
      </rPr>
      <t>.</t>
    </r>
  </si>
  <si>
    <t>Prevenção e Gestão</t>
  </si>
  <si>
    <t>Empresas podem adotar medidas preventivas, como:</t>
  </si>
  <si>
    <t>Políticas internas claras sobre ética e conduta profissional.</t>
  </si>
  <si>
    <t>Treinamento e conscientização de funcionários sobre responsabilidades e consequências.</t>
  </si>
  <si>
    <r>
      <rPr>
        <b/>
        <sz val="12"/>
        <rFont val="Times New Roman"/>
        <family val="1"/>
      </rPr>
      <t>Auditorias e controles internos para detectar irregularidades rapidamente </t>
    </r>
    <r>
      <rPr>
        <b/>
        <sz val="12"/>
        <color rgb="FF0000FF"/>
        <rFont val="Times New Roman"/>
        <family val="1"/>
      </rPr>
      <t>Pontotel+1</t>
    </r>
    <r>
      <rPr>
        <b/>
        <sz val="12"/>
        <rFont val="Times New Roman"/>
        <family val="1"/>
      </rPr>
      <t>.</t>
    </r>
  </si>
  <si>
    <t>O departamento de Recursos Humanos desempenha papel central na prevenção e na apuração de atos de improbidade, garantindo que qualquer medida disciplinar seja justa, documentada e legalmente embasada</t>
  </si>
  <si>
    <t>Incontinência de Conduta ou Mau procedimento</t>
  </si>
  <si>
    <t xml:space="preserve">A incontinência de conduta e o mau procedimento são duas das hipóteses previstas na Consolidação das Leis do Trabalho que autorizam a demissão por justa causa do empregado. Ambas as condutas dizem respeito ao comportamento inadequado ou reprovável do trabalhador, que, ao violar regras de convivência, respeito, moralidade ou disciplina no ambiente de trabalho, torna insustentável a manutenção do vínculo empregatício. Embora muitas vezes sejam confundidas, essas duas faltas têm características distintas e demandam análise criteriosa para sua correta aplicação. Neste artigo, vamos explicar o que é incontinência de conduta e o que é mau procedimento, suas diferenças, os requisitos para configuração da justa causa, exemplos práticos, reflexos legais e os cuidados que devem ser observados tanto pelo empregador quanto pelo empregado. </t>
  </si>
  <si>
    <t>Incontinência de Conduta</t>
  </si>
  <si>
    <t>A incontinência de conduta é uma das faltas graves previstas no artigo 482 da Consolidação das Leis do Trabalho, mais especificamente na alínea “b”. Trata-se de um comportamento relacionado à violação de padrões de decoro, pudor ou respeito às normas morais e sociais, em especial no ambiente de trabalho.</t>
  </si>
  <si>
    <t>⚖ Jurimetria estratégica</t>
  </si>
  <si>
    <t>Conhecer a lei é obrigatório.</t>
  </si>
  <si>
    <t>Conhecer o julgador é o que torna a estratégia mais precisa.</t>
  </si>
  <si>
    <t>Faça uma consulta de jurimetria do seu caso.</t>
  </si>
  <si>
    <t>Consultar jurimetria agora →</t>
  </si>
  <si>
    <t>Esse tipo de conduta é usualmente ligada à esfera sexual, como atitudes lascivas, gestos obscenos, propostas indecorosas, assédio sexual, linguagem vulgar ou gestos inapropriados direcionados a colegas ou superiores. A incontinência de conduta se refere, portanto, a um descontrole nos impulsos, especialmente de natureza íntima ou moral, que afeta negativamente a convivência e o ambiente profissional.</t>
  </si>
  <si>
    <t>Importante destacar que o ato precisa ter um grau de gravidade suficiente para romper a confiança entre as partes. Pequenos excessos, ainda que inadequados, não configuram incontinência se puderem ser corrigidos com advertência</t>
  </si>
  <si>
    <t>Mau procedimento</t>
  </si>
  <si>
    <t>Mau procedimento é uma conduta grave do empregado que viola normas de ética, disciplina ou convivência no trabalho, podendo justificar a demissão por justa causa.</t>
  </si>
  <si>
    <t>Definição e Características</t>
  </si>
  <si>
    <r>
      <rPr>
        <sz val="12"/>
        <rFont val="Times New Roman"/>
        <family val="1"/>
      </rPr>
      <t>O mau procedimento é previsto no artigo 482, alínea "b", da Consolidação das Leis do Trabalho (CLT) como uma das hipóteses de justa causa. Trata-se de comportamentos inadequados, desrespeitosos ou incompatíveis com a ética profissional, que comprometem a convivência, a disciplina e a imagem da empresa </t>
    </r>
    <r>
      <rPr>
        <sz val="12"/>
        <color rgb="FF0000FF"/>
        <rFont val="Times New Roman"/>
        <family val="1"/>
      </rPr>
      <t>ambitojuridico.com.br+2</t>
    </r>
    <r>
      <rPr>
        <sz val="12"/>
        <rFont val="Times New Roman"/>
        <family val="1"/>
      </rPr>
      <t>. Diferente da incontinência de conduta, que envolve principalmente questões de moral sexual, o mau procedimento abrange atitudes gerais de desrespeito, agressividade, insubordinação ou violação de normas internas</t>
    </r>
  </si>
  <si>
    <t>Desídia no desempenho das funções</t>
  </si>
  <si>
    <t>Desídia no desempenho das funções é a conduta negligente, repetitiva e habitual do trabalhador, caracterizada por descuido, desinteresse ou falta de empenho nas suas obrigações laborais, podendo levar à demissão por justa causa.</t>
  </si>
  <si>
    <t>Conceito de Desídia</t>
  </si>
  <si>
    <r>
      <rPr>
        <sz val="12"/>
        <rFont val="Times New Roman"/>
        <family val="1"/>
      </rPr>
      <t>A desídia ocorre quando o empregado demonstra negligência, desleixo ou falta de cuidado no cumprimento de suas funções de forma habitual e reiterada, não se tratando de incapacidade técnica, mas de uma postura negligente frente às responsabilidades contratuais </t>
    </r>
    <r>
      <rPr>
        <sz val="12"/>
        <color rgb="FF0000FF"/>
        <rFont val="Times New Roman"/>
        <family val="1"/>
      </rPr>
      <t>Modelo Inicial+1</t>
    </r>
    <r>
      <rPr>
        <sz val="12"/>
        <rFont val="Times New Roman"/>
        <family val="1"/>
      </rPr>
      <t>. Segundo a CLT, artigo 482, alínea “e”, a desídia é considerada uma falta grave que justifica a rescisão do contrato de trabalho pelo empregador </t>
    </r>
    <r>
      <rPr>
        <sz val="12"/>
        <color rgb="FF0000FF"/>
        <rFont val="Times New Roman"/>
        <family val="1"/>
      </rPr>
      <t>genyo.com.br+1</t>
    </r>
    <r>
      <rPr>
        <sz val="12"/>
        <rFont val="Times New Roman"/>
        <family val="1"/>
      </rPr>
      <t>.</t>
    </r>
  </si>
  <si>
    <t>Exemplos de Desídia</t>
  </si>
  <si>
    <t>Entre os comportamentos que configuram desídia, destacam-se:</t>
  </si>
  <si>
    <t>Atrasos frequentes e reincidentes</t>
  </si>
  <si>
    <t>Faltas injustificadas ou uso indevido de atestados médicos</t>
  </si>
  <si>
    <t>Execução deficiente das tarefas, com baixa qualidade ou produtividade</t>
  </si>
  <si>
    <t>Procrastinação deliberada durante o horário de trabalho</t>
  </si>
  <si>
    <r>
      <rPr>
        <sz val="12"/>
        <rFont val="Times New Roman"/>
        <family val="1"/>
      </rPr>
      <t>Desleixo com equipamentos ou materiais da empresa </t>
    </r>
    <r>
      <rPr>
        <sz val="12"/>
        <color rgb="FF0000FF"/>
        <rFont val="Times New Roman"/>
        <family val="1"/>
      </rPr>
      <t>Jusbrasil+2</t>
    </r>
  </si>
  <si>
    <t>É importante diferenciar desídia de baixo desempenho, pois este último pode ocorrer sem dolo ou má-fé, enquanto a desídia envolve desatenção e descumprimento consciente das obrigações .</t>
  </si>
  <si>
    <t>Ato de indisciplina ou insubordinação</t>
  </si>
  <si>
    <r>
      <rPr>
        <b/>
        <sz val="14"/>
        <rFont val="Arial"/>
        <family val="2"/>
      </rPr>
      <t xml:space="preserve">Ato de indisciplina ocorre quando o colaborador desrespeita normas internas da empresa, enquanto insubordinação acontece quando há recusa em cumprir uma ordem direta de um superior.
Diferenças Conceituais
</t>
    </r>
    <r>
      <rPr>
        <sz val="10"/>
        <rFont val="Arial"/>
        <family val="2"/>
      </rPr>
      <t>Indisciplina: Refere-se ao descumprimento de regras gerais da empresa, como regulamentos internos, normas de segurança ou diretrizes funcionais. Por exemplo, não registrar o ponto, fumar em locais proibidos ou desrespeitar normas de conduta são considerados atos de indisciplina </t>
    </r>
    <r>
      <rPr>
        <sz val="10"/>
        <color rgb="FF0000FF"/>
        <rFont val="Arial"/>
        <family val="2"/>
      </rPr>
      <t>solides.com.br+2</t>
    </r>
    <r>
      <rPr>
        <sz val="10"/>
        <rFont val="Arial"/>
        <family val="2"/>
      </rPr>
      <t>.
Insubordinação: Ocorre quando o funcionário não cumpre uma ordem direta e legítima de seu superior hierárquico, seja verbal ou escrita. Exemplos incluem recusar-se a executar uma tarefa específica ou desrespeitar decisões do gestor </t>
    </r>
    <r>
      <rPr>
        <sz val="10"/>
        <color rgb="FF0000FF"/>
        <rFont val="Arial"/>
        <family val="2"/>
      </rPr>
      <t>solides.com.br+2</t>
    </r>
    <r>
      <rPr>
        <sz val="10"/>
        <rFont val="Arial"/>
        <family val="2"/>
      </rPr>
      <t xml:space="preserve">. Para ser configurada, a ordem deve ser clara e fazer parte das funções do cargo do colaborador.
</t>
    </r>
    <r>
      <rPr>
        <b/>
        <sz val="13"/>
        <rFont val="Arial"/>
        <family val="2"/>
      </rPr>
      <t xml:space="preserve">Base Legal
</t>
    </r>
    <r>
      <rPr>
        <sz val="10"/>
        <rFont val="Arial"/>
        <family val="2"/>
      </rPr>
      <t>Os atos de indisciplina e insubordinação estão previstos no Artigo 482 da Consolidação das Leis do Trabalho (CLT), que lista essas condutas como motivos que podem justificar a rescisão do contrato de trabalho por justa causa </t>
    </r>
    <r>
      <rPr>
        <sz val="10"/>
        <color rgb="FF0000FF"/>
        <rFont val="Arial"/>
        <family val="2"/>
      </rPr>
      <t>Pontotel+2</t>
    </r>
    <r>
      <rPr>
        <sz val="10"/>
        <rFont val="Arial"/>
        <family val="2"/>
      </rPr>
      <t xml:space="preserve">. A aplicação da justa causa deve observar os princípios de imediatidade, proporcionalidade e gravidade do ato cometido, garantindo que a punição seja adequada e não tardia.
</t>
    </r>
    <r>
      <rPr>
        <b/>
        <sz val="12"/>
        <rFont val="Arial"/>
        <family val="2"/>
      </rPr>
      <t xml:space="preserve">Exemplos Comuns
</t>
    </r>
    <r>
      <rPr>
        <sz val="10"/>
        <rFont val="Arial"/>
        <family val="2"/>
      </rPr>
      <t>Indisciplina: Não assinar o ponto, desrespeitar normas de segurança, atrasos frequentes, destratar colegas ou deixar de cumprir responsabilidades para “punir” a empresa </t>
    </r>
    <r>
      <rPr>
        <sz val="10"/>
        <color rgb="FF0000FF"/>
        <rFont val="Arial"/>
        <family val="2"/>
      </rPr>
      <t>simcarreira.com.br</t>
    </r>
    <r>
      <rPr>
        <sz val="10"/>
        <rFont val="Arial"/>
        <family val="2"/>
      </rPr>
      <t>.
Insubordinação: Recusar-se a realizar tarefas solicitadas, ignorar ordens diretas do superior, não cumprir atividades do escopo do cargo </t>
    </r>
    <r>
      <rPr>
        <sz val="10"/>
        <color rgb="FF0000FF"/>
        <rFont val="Arial"/>
        <family val="2"/>
      </rPr>
      <t>tiquetaque.com+1</t>
    </r>
    <r>
      <rPr>
        <sz val="10"/>
        <rFont val="Arial"/>
        <family val="2"/>
      </rPr>
      <t xml:space="preserve">.
</t>
    </r>
    <r>
      <rPr>
        <b/>
        <sz val="12"/>
        <rFont val="Arial"/>
        <family val="2"/>
      </rPr>
      <t xml:space="preserve">Como Lidar
</t>
    </r>
    <r>
      <rPr>
        <sz val="10"/>
        <rFont val="Arial"/>
        <family val="2"/>
      </rPr>
      <t>Para o RH e gestores, é importante diferenciar os dois tipos de atos para aplicar medidas corretivas adequadas, que podem variar de advertências e suspensões até a demissão por justa causa, sempre considerando o impacto no clima organizacional e a motivação dos colaboradores </t>
    </r>
    <r>
      <rPr>
        <sz val="10"/>
        <color rgb="FF0000FF"/>
        <rFont val="Arial"/>
        <family val="2"/>
      </rPr>
      <t>solides.com.br+2</t>
    </r>
    <r>
      <rPr>
        <sz val="10"/>
        <rFont val="Arial"/>
        <family val="2"/>
      </rPr>
      <t>. Além disso, a CLT garante o direito de recusa do funcionário em situações de ordens antiéticas ou perigosas, conforme o Artigo 483 </t>
    </r>
    <r>
      <rPr>
        <sz val="10"/>
        <color rgb="FF0000FF"/>
        <rFont val="Arial"/>
        <family val="2"/>
      </rPr>
      <t>tiquetaque.com</t>
    </r>
    <r>
      <rPr>
        <sz val="10"/>
        <rFont val="Arial"/>
        <family val="2"/>
      </rPr>
      <t xml:space="preserve">.
</t>
    </r>
  </si>
  <si>
    <t>Abandono do emprego</t>
  </si>
  <si>
    <r>
      <rPr>
        <b/>
        <sz val="12"/>
        <rFont val="Arial"/>
        <family val="2"/>
      </rPr>
      <t xml:space="preserve">O abandono de emprego ocorre quando o empregado deixa de comparecer ao trabalho por um período prolongado, sem justificativa, demonstrando intenção de não retornar, podendo resultar em demissão por justa causa.
Definição e Base Legal
</t>
    </r>
    <r>
      <rPr>
        <sz val="10"/>
        <rFont val="Arial"/>
        <family val="2"/>
      </rPr>
      <t>O abandono de emprego é considerado uma falta grave, prevista no artigo 482, alínea “i”, da Consolidação das Leis do Trabalho (CLT), permitindo a rescisão do contrato por justa causa </t>
    </r>
    <r>
      <rPr>
        <sz val="10"/>
        <color rgb="FF0000FF"/>
        <rFont val="Arial"/>
        <family val="2"/>
      </rPr>
      <t>Jusbrasil+2</t>
    </r>
    <r>
      <rPr>
        <sz val="10"/>
        <rFont val="Arial"/>
        <family val="2"/>
      </rPr>
      <t>. Ele se caracteriza pela ausência contínua e injustificada do trabalhador, violando a obrigação fundamental de prestar serviços à empresa </t>
    </r>
    <r>
      <rPr>
        <sz val="10"/>
        <color rgb="FF0000FF"/>
        <rFont val="Arial"/>
        <family val="2"/>
      </rPr>
      <t>guiatrabalhista.com.br</t>
    </r>
    <r>
      <rPr>
        <sz val="10"/>
        <rFont val="Arial"/>
        <family val="2"/>
      </rPr>
      <t xml:space="preserve">.
</t>
    </r>
    <r>
      <rPr>
        <b/>
        <sz val="12"/>
        <rFont val="Arial"/>
        <family val="2"/>
      </rPr>
      <t xml:space="preserve">Elementos para Configuração
</t>
    </r>
    <r>
      <rPr>
        <sz val="10"/>
        <rFont val="Arial"/>
        <family val="2"/>
      </rPr>
      <t>Para que o abandono seja reconhecido, é necessário comprovar dois elementos:
Elemento objetivo (material): ausência prolongada do trabalho sem justificativa.
Elemento subjetivo (psicológico): intenção do empregado de não retornar às atividades laborais </t>
    </r>
    <r>
      <rPr>
        <sz val="10"/>
        <color rgb="FF0000FF"/>
        <rFont val="Arial"/>
        <family val="2"/>
      </rPr>
      <t>Portal Contábeis+1</t>
    </r>
    <r>
      <rPr>
        <sz val="10"/>
        <rFont val="Arial"/>
        <family val="2"/>
      </rPr>
      <t>.
A simples falta, mesmo que prolongada, não é suficiente; é essencial que haja indícios claros de desinteresse, como recusa formal em retornar ou aceitação de outro emprego </t>
    </r>
    <r>
      <rPr>
        <sz val="10"/>
        <color rgb="FF0000FF"/>
        <rFont val="Arial"/>
        <family val="2"/>
      </rPr>
      <t>Portal Contábeis</t>
    </r>
    <r>
      <rPr>
        <sz val="10"/>
        <rFont val="Arial"/>
        <family val="2"/>
      </rPr>
      <t xml:space="preserve">.
</t>
    </r>
    <r>
      <rPr>
        <b/>
        <sz val="13"/>
        <rFont val="Arial"/>
        <family val="2"/>
      </rPr>
      <t xml:space="preserve">Prazo Geral
</t>
    </r>
    <r>
      <rPr>
        <sz val="10"/>
        <rFont val="Arial"/>
        <family val="2"/>
      </rPr>
      <t>Embora a CLT não estabeleça um prazo específico, a jurisprudência consolidada considera que ausências consecutivas superiores a 30 dias sem justificativa presumem abandono de emprego </t>
    </r>
    <r>
      <rPr>
        <sz val="10"/>
        <color rgb="FF0000FF"/>
        <rFont val="Arial"/>
        <family val="2"/>
      </rPr>
      <t>Jusbrasil+2</t>
    </r>
    <r>
      <rPr>
        <sz val="10"/>
        <rFont val="Arial"/>
        <family val="2"/>
      </rPr>
      <t xml:space="preserve">. Em casos excepcionais, períodos menores podem ser considerados se houver evidências claras da intenção de não retornar.
</t>
    </r>
    <r>
      <rPr>
        <b/>
        <sz val="12"/>
        <rFont val="Arial"/>
        <family val="2"/>
      </rPr>
      <t xml:space="preserve">Procedimento do Empregador
</t>
    </r>
    <r>
      <rPr>
        <sz val="10"/>
        <rFont val="Arial"/>
        <family val="2"/>
      </rPr>
      <t>O empregador deve seguir um procedimento formal para evitar passivos trabalhistas:
Notificação ao empregado: enviar carta registrada com aviso de recebimento (AR), solicitando justificativa ou retorno ao trabalho dentro de prazo determinado </t>
    </r>
    <r>
      <rPr>
        <sz val="10"/>
        <color rgb="FF0000FF"/>
        <rFont val="Arial"/>
        <family val="2"/>
      </rPr>
      <t>Jusbrasil+1</t>
    </r>
    <r>
      <rPr>
        <sz val="10"/>
        <rFont val="Arial"/>
        <family val="2"/>
      </rPr>
      <t>.
Prazo para resposta: aguardar o período estipulado para que o empregado apresente justificativa.
Rescisão por justa causa: caso não haja resposta ou justificativa válida, formalizar a demissão por justa causa e notificar novamente via AR </t>
    </r>
    <r>
      <rPr>
        <sz val="10"/>
        <color rgb="FF0000FF"/>
        <rFont val="Arial"/>
        <family val="2"/>
      </rPr>
      <t>Jusbrasil+1</t>
    </r>
    <r>
      <rPr>
        <sz val="10"/>
        <rFont val="Arial"/>
        <family val="2"/>
      </rPr>
      <t xml:space="preserve">.
</t>
    </r>
    <r>
      <rPr>
        <b/>
        <sz val="12"/>
        <rFont val="Arial"/>
        <family val="2"/>
      </rPr>
      <t xml:space="preserve">Direitos e Perdas do Empregado
</t>
    </r>
    <r>
      <rPr>
        <sz val="10"/>
        <rFont val="Arial"/>
        <family val="2"/>
      </rPr>
      <t>Na demissão por justa causa por abandono de emprego, o trabalhador perde direitos como aviso prévio, férias proporcionais acrescidas de 1/3 e saque do FGTS, mas mantém o direito a salários devidos até a data da rescisão e depósitos do FGTS </t>
    </r>
    <r>
      <rPr>
        <sz val="10"/>
        <color rgb="FF0000FF"/>
        <rFont val="Arial"/>
        <family val="2"/>
      </rPr>
      <t>Jusbrasil+1</t>
    </r>
    <r>
      <rPr>
        <sz val="10"/>
        <rFont val="Arial"/>
        <family val="2"/>
      </rPr>
      <t xml:space="preserve">.
</t>
    </r>
    <r>
      <rPr>
        <b/>
        <sz val="12"/>
        <rFont val="Arial"/>
        <family val="2"/>
      </rPr>
      <t xml:space="preserve">Considerações Finais
</t>
    </r>
    <r>
      <rPr>
        <sz val="10"/>
        <rFont val="Arial"/>
        <family val="2"/>
      </rPr>
      <t xml:space="preserve">O abandono de emprego exige precisão jurídica e sensibilidade por parte do RH, considerando o histórico do colaborador, tentativas de contato e possíveis emergências. Seguir corretamente os procedimentos legais é essencial para que a demissão por justa causa seja válida e para minimizar riscos trabalhistas
</t>
    </r>
  </si>
  <si>
    <t>Atos Lesivos Lesivos a hora ou a boa fama praticados no serviço</t>
  </si>
  <si>
    <t>A legislação trabalhista, em seu artigo 483, alínea 'e', estabelece que o empregado poderá considerar rescindido o contrato de trabalho quando o empregador ou seus prepostos praticarem contra ele ou pessoas de sua família, ato lesivo da honra e boa fama.</t>
  </si>
  <si>
    <t xml:space="preserve">Art. 483 do Decreto-lei nº 5.452, de 01 de maio de 1943 Art. 483 - O empregado poderá considerar rescindido o contrato e pleitear a devida indenização quando: (...) e) praticar o empregador ou seus prepostos, contra ele ou pessoas de sua família, ato lesivo da honra e boa fama; </t>
  </si>
  <si>
    <t>A jurisprudência trabalhista tem delineado o que pode ser considerado um ato lesivo, incluindo uma variedade de condutas que extrapolam o poder diretivo do empregador e atingem a dignidade do trabalhador.</t>
  </si>
  <si>
    <t>Exemplos de condutas reconhecidas pela jurisprudência:</t>
  </si>
  <si>
    <t xml:space="preserve">Assédio Moral e Tratamento Desrespeitoso: O tratamento desrespeitoso por parte de superiores hierárquicos, com ofensas verbais na presença de colegas e clientes, é uma clara violação que justifica a rescisão indireta. O Tribunal Superior do Trabalho (TST) já reconheceu que tal conduta configura dano à esfera extrapatrimonial do reclamante </t>
  </si>
  <si>
    <t xml:space="preserve">Acusações Infundadas de Improbidade: Imputar ao empregado a prática de atos ilícitos, como fraudes, sem a devida comprovação, fere gravemente sua honra. Decisões regionais confirmam que acusações públicas de improbidade caracterizam a falta grave do empregador </t>
  </si>
  <si>
    <t xml:space="preserve">Ofensas e Humilhações: O uso de apelidos pejorativos ou xingamentos, como chamar o empregado de "noia" e "drogado", é considerado ato lesivo à honra e justifica a rescisão indireta, sendo a conduta do preposto de responsabilidade do empregador O mesmo se aplica a tratamentos humilhantes, como chamar o empregado de "burro" </t>
  </si>
  <si>
    <t xml:space="preserve">Condutas Vexatórias e Constrangedoras: A submissão do trabalhador a constrangimentos e condutas vexatórias no ambiente de trabalho configura desrespeito e pode levar à rescisão indireta, conforme entendimento do TRT-2 </t>
  </si>
  <si>
    <t xml:space="preserve">Discriminação: A discriminação em razão da condição de gestante, com restrições e constrangimentos, também é considerada uma conduta abusiva que ofende a dignidade da trabalhadora e autoriza a rescisão indireta </t>
  </si>
  <si>
    <t xml:space="preserve">Pressão Psicológica e "Humilhação Recreativa": O TST já se posicionou no sentido de que exercer pressão psicológica constante e fazer "piadas" ofensivas, com o intuito de criar temor de perda do emprego, configura assédio moral e justifica a reparação por danos morais </t>
  </si>
  <si>
    <t>Implicações da Rescisão Indireta</t>
  </si>
  <si>
    <t>Uma vez comprovada a falta grave do empregador, o empregado tem o direito de considerar o contrato de trabalho rescindido. As principais implicações são:</t>
  </si>
  <si>
    <t>Verbas Rescisórias: O empregado fará jus a todas as verbas rescisórias equivalentes à demissão sem justa causa, incluindo:</t>
  </si>
  <si>
    <t>Aviso prévio indenizado;</t>
  </si>
  <si>
    <t>Saldo de salário;</t>
  </si>
  <si>
    <t>Férias vencidas e proporcionais, acrescidas de 1/3;</t>
  </si>
  <si>
    <t>13º salário proporcional;</t>
  </si>
  <si>
    <t>Levantamento do FGTS, acrescido da multa de 40%;</t>
  </si>
  <si>
    <t>Fornecimento das guias para habilitação no seguro-desemprego.</t>
  </si>
  <si>
    <t>Dano Moral: Além das verbas rescisórias, a prática de ato lesivo à honra e boa fama frequentemente gera o dever de indenizar por danos morais, dada a ofensa à dignidade, à imagem e à honra do trabalhador. Os tribunais fixam o valor da indenização com base na gravidade da conduta, na capacidade econômica do ofensor e na extensão do dano sofrido pelo empregado.</t>
  </si>
  <si>
    <t>Pontos Importantes na Análise Jurisprudencial</t>
  </si>
  <si>
    <t xml:space="preserve">Imediatidade: Diferentemente da justa causa aplicada ao empregado, a imediatidade na reação do trabalhador à falta grave do empregador é vista com flexibilidade pela jurisprudência. O TST entende que, em razão da hipossuficiência e do temor de perder o emprego, a demora em ajuizar a ação de rescisão indireta não configura perdão tácito </t>
  </si>
  <si>
    <t xml:space="preserve">Ônus da Prova: Cabe ao empregado comprovar de forma robusta a ocorrência da falta grave praticada pelo empregador. A prova testemunhal é de grande importância nesses casos, mas documentos, e-mails e outras formas de comunicação também são relevantes. A ausência de provas leva à improcedência do pedido </t>
  </si>
  <si>
    <t xml:space="preserve">Gravidade da Conduta: Para a configuração da rescisão indireta, a falta do empregador deve ser grave o suficiente para tornar insustentável a continuidade da relação de emprego </t>
  </si>
  <si>
    <t>Em resumo, a jurisprudência trabalhista protege a honra e a boa fama do empregado, considerando que ofensas, humilhações e acusações infundadas são faltas graves que rompem a fidúcia necessária ao contrato de trabalho e autorizam a rescisão indireta, com o pagamento de todas as verbas devidas e, frequentemente, uma indenização por danos morais.</t>
  </si>
  <si>
    <t>Lembro que esta análise é baseada nos entendimentos jurisprudenciais encontrados e que, como advogado, você deve sempre verificar a aplicação ao caso concreto e a documentação probatória disponível.</t>
  </si>
  <si>
    <t xml:space="preserve">            MÊS DE REFERÊNCIA :</t>
  </si>
  <si>
    <t>PLANILHA DE CÁLCULO - VALE TRANSPORTE</t>
  </si>
  <si>
    <t>EMPRESA:</t>
  </si>
  <si>
    <t>Menu  Rápido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</si>
</sst>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0"/>
      <name val="Arial"/>
      <family val="2"/>
    </font>
    <font>
      <sz val="10"/>
      <color rgb="FF000000"/>
      <name val="Arial"/>
      <family val="2"/>
    </font>
    <font>
      <sz val="12"/>
      <name val="Times New Roman"/>
      <family val="1"/>
    </font>
    <font>
      <sz val="10"/>
      <color rgb="FFFFBF00"/>
      <name val="Arial"/>
      <family val="2"/>
    </font>
    <font>
      <b/>
      <sz val="16"/>
      <color rgb="FFFFFFFF"/>
      <name val="Arial"/>
      <family val="2"/>
    </font>
    <font>
      <sz val="10.5"/>
      <color rgb="FFFFFFFF"/>
      <name val="Arial"/>
      <family val="2"/>
    </font>
    <font>
      <b/>
      <sz val="20"/>
      <color rgb="FFFFFFFF"/>
      <name val="Arial"/>
      <family val="2"/>
    </font>
    <font>
      <b/>
      <sz val="10"/>
      <name val="Arial"/>
      <family val="2"/>
    </font>
    <font>
      <b/>
      <sz val="13"/>
      <color rgb="FFFF972F"/>
      <name val="Arial"/>
      <family val="2"/>
    </font>
    <font>
      <b/>
      <sz val="18"/>
      <color rgb="FFFFFFFF"/>
      <name val="Arial"/>
      <family val="2"/>
    </font>
    <font>
      <b/>
      <sz val="14"/>
      <color rgb="FF2A6099"/>
      <name val="Arial"/>
      <family val="2"/>
    </font>
    <font>
      <sz val="10"/>
      <color rgb="FF5983B0"/>
      <name val="Arial"/>
      <family val="2"/>
    </font>
    <font>
      <b/>
      <sz val="10"/>
      <color rgb="FFFF0000"/>
      <name val="Arial"/>
      <family val="2"/>
    </font>
    <font>
      <b/>
      <sz val="12"/>
      <color rgb="FF2A6099"/>
      <name val="Arial"/>
      <family val="2"/>
    </font>
    <font>
      <b/>
      <u/>
      <sz val="10"/>
      <color rgb="FFFF972F"/>
      <name val="Arial"/>
      <family val="2"/>
    </font>
    <font>
      <b/>
      <u/>
      <sz val="14"/>
      <color rgb="FF2A6099"/>
      <name val="Arial"/>
      <family val="2"/>
    </font>
    <font>
      <u/>
      <sz val="10"/>
      <color rgb="FFFF972F"/>
      <name val="Arial"/>
      <family val="2"/>
    </font>
    <font>
      <sz val="10"/>
      <color rgb="FFFF972F"/>
      <name val="Arial"/>
      <family val="2"/>
    </font>
    <font>
      <b/>
      <sz val="16"/>
      <color rgb="FF2A6099"/>
      <name val="Arial"/>
      <family val="2"/>
    </font>
    <font>
      <sz val="16"/>
      <color rgb="FFFF972F"/>
      <name val="Arial"/>
      <family val="2"/>
    </font>
    <font>
      <sz val="16"/>
      <color rgb="FFFFBF00"/>
      <name val="Arial"/>
      <family val="2"/>
    </font>
    <font>
      <b/>
      <sz val="16"/>
      <color rgb="FFFF972F"/>
      <name val="Arial"/>
      <family val="2"/>
    </font>
    <font>
      <u/>
      <sz val="10"/>
      <name val="Arial"/>
      <family val="2"/>
    </font>
    <font>
      <b/>
      <u/>
      <sz val="10"/>
      <color rgb="FFFF4000"/>
      <name val="Arial"/>
      <family val="2"/>
    </font>
    <font>
      <b/>
      <sz val="10"/>
      <color rgb="FF2A6099"/>
      <name val="Arial"/>
      <family val="2"/>
    </font>
    <font>
      <b/>
      <sz val="10"/>
      <color rgb="FFFFBF00"/>
      <name val="Arial"/>
      <family val="2"/>
    </font>
    <font>
      <b/>
      <sz val="10"/>
      <color rgb="FFFF972F"/>
      <name val="Arial"/>
      <family val="2"/>
    </font>
    <font>
      <sz val="10"/>
      <color rgb="FF2A6099"/>
      <name val="Arial"/>
      <family val="2"/>
    </font>
    <font>
      <b/>
      <u/>
      <sz val="12"/>
      <name val="Arial"/>
      <family val="2"/>
    </font>
    <font>
      <b/>
      <sz val="12"/>
      <name val="Arial"/>
      <family val="2"/>
    </font>
    <font>
      <sz val="14"/>
      <name val="Arial"/>
      <family val="2"/>
    </font>
    <font>
      <b/>
      <sz val="10.5"/>
      <name val="Arial"/>
      <family val="2"/>
    </font>
    <font>
      <b/>
      <sz val="14"/>
      <name val="Arial"/>
      <family val="2"/>
    </font>
    <font>
      <b/>
      <sz val="11"/>
      <name val="Arial"/>
      <family val="2"/>
    </font>
    <font>
      <sz val="10"/>
      <color rgb="FFFF4000"/>
      <name val="Arial"/>
      <family val="2"/>
    </font>
    <font>
      <b/>
      <sz val="16"/>
      <name val="Times New Roman"/>
      <family val="1"/>
    </font>
    <font>
      <sz val="10"/>
      <name val="Times New Roman"/>
      <family val="1"/>
    </font>
    <font>
      <b/>
      <sz val="10"/>
      <name val="Times New Roman"/>
      <family val="1"/>
    </font>
    <font>
      <b/>
      <sz val="10"/>
      <color rgb="FF0000FF"/>
      <name val="Times New Roman"/>
      <family val="1"/>
    </font>
    <font>
      <b/>
      <sz val="14"/>
      <name val="Times New Roman"/>
      <family val="1"/>
    </font>
    <font>
      <sz val="10"/>
      <color rgb="FF0000FF"/>
      <name val="Times New Roman"/>
      <family val="1"/>
    </font>
    <font>
      <sz val="12"/>
      <color rgb="FF0000FF"/>
      <name val="Times New Roman"/>
      <family val="1"/>
    </font>
    <font>
      <b/>
      <u/>
      <sz val="12"/>
      <name val="Times New Roman"/>
      <family val="1"/>
    </font>
    <font>
      <b/>
      <sz val="16"/>
      <name val="Arial"/>
      <family val="2"/>
    </font>
    <font>
      <b/>
      <sz val="12"/>
      <name val="Times New Roman"/>
      <family val="1"/>
    </font>
    <font>
      <b/>
      <sz val="12"/>
      <color rgb="FF0000FF"/>
      <name val="Times New Roman"/>
      <family val="1"/>
    </font>
    <font>
      <sz val="10"/>
      <color rgb="FF0000FF"/>
      <name val="Arial"/>
      <family val="2"/>
    </font>
    <font>
      <b/>
      <sz val="13"/>
      <name val="Arial"/>
      <family val="2"/>
    </font>
    <font>
      <b/>
      <i/>
      <sz val="12"/>
      <name val="Times New Roman"/>
      <family val="1"/>
    </font>
    <font>
      <sz val="11"/>
      <color rgb="FF000000"/>
      <name val="Arial"/>
      <family val="2"/>
    </font>
    <font>
      <sz val="10"/>
      <color theme="1"/>
      <name val="Arial"/>
      <family val="2"/>
    </font>
    <font>
      <b/>
      <sz val="10"/>
      <color theme="1"/>
      <name val="Arial"/>
      <family val="2"/>
    </font>
    <font>
      <sz val="9"/>
      <color indexed="81"/>
      <name val="Segoe UI"/>
      <family val="2"/>
    </font>
    <font>
      <b/>
      <sz val="9"/>
      <color indexed="81"/>
      <name val="Segoe UI"/>
      <family val="2"/>
    </font>
    <font>
      <b/>
      <u/>
      <sz val="12"/>
      <color rgb="FFFF972F"/>
      <name val="Arial"/>
      <family val="2"/>
    </font>
    <font>
      <b/>
      <sz val="9"/>
      <color rgb="FF0070C0"/>
      <name val="Arial"/>
      <family val="2"/>
    </font>
    <font>
      <b/>
      <sz val="12"/>
      <color theme="8" tint="0.59999389629810485"/>
      <name val="Arial"/>
      <family val="2"/>
    </font>
    <font>
      <b/>
      <sz val="16"/>
      <color theme="5"/>
      <name val="Arial"/>
      <family val="2"/>
    </font>
  </fonts>
  <fills count="4">
    <fill>
      <patternFill patternType="none"/>
    </fill>
    <fill>
      <patternFill patternType="gray125"/>
    </fill>
    <fill>
      <patternFill patternType="solid">
        <fgColor theme="5"/>
        <bgColor indexed="64"/>
      </patternFill>
    </fill>
    <fill>
      <patternFill patternType="solid">
        <fgColor theme="6" tint="0.79998168889431442"/>
        <bgColor indexed="64"/>
      </patternFill>
    </fill>
  </fills>
  <borders count="9">
    <border>
      <left/>
      <right/>
      <top/>
      <bottom/>
      <diagonal/>
    </border>
    <border>
      <left/>
      <right/>
      <top style="thin">
        <color auto="1"/>
      </top>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s>
  <cellStyleXfs count="1">
    <xf numFmtId="0" fontId="0" fillId="0" borderId="0"/>
  </cellStyleXfs>
  <cellXfs count="118">
    <xf numFmtId="0" fontId="0" fillId="0" borderId="0" xfId="0"/>
    <xf numFmtId="0" fontId="13"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0" xfId="0" applyProtection="1">
      <protection locked="0"/>
    </xf>
    <xf numFmtId="0" fontId="0" fillId="0" borderId="0" xfId="0" applyProtection="1">
      <protection hidden="1"/>
    </xf>
    <xf numFmtId="0" fontId="1" fillId="0" borderId="1" xfId="0" applyFont="1" applyBorder="1" applyProtection="1">
      <protection locked="0"/>
    </xf>
    <xf numFmtId="0" fontId="0" fillId="0" borderId="2" xfId="0" applyBorder="1" applyProtection="1">
      <protection locked="0"/>
    </xf>
    <xf numFmtId="0" fontId="0" fillId="0" borderId="0" xfId="0" applyAlignment="1">
      <alignment horizontal="center"/>
    </xf>
    <xf numFmtId="0" fontId="0" fillId="0" borderId="1" xfId="0" applyBorder="1" applyAlignment="1">
      <alignment horizontal="center"/>
    </xf>
    <xf numFmtId="0" fontId="0" fillId="0" borderId="1" xfId="0" applyBorder="1" applyProtection="1">
      <protection hidden="1"/>
    </xf>
    <xf numFmtId="0" fontId="0" fillId="0" borderId="1" xfId="0" applyBorder="1"/>
    <xf numFmtId="0" fontId="0" fillId="0" borderId="1" xfId="0" applyBorder="1" applyAlignment="1" applyProtection="1">
      <alignment horizontal="center"/>
      <protection locked="0"/>
    </xf>
    <xf numFmtId="0" fontId="5" fillId="0" borderId="0" xfId="0" applyFont="1" applyAlignment="1" applyProtection="1">
      <alignment horizontal="center"/>
      <protection hidden="1"/>
    </xf>
    <xf numFmtId="0" fontId="6" fillId="0" borderId="0" xfId="0" applyFont="1" applyAlignment="1">
      <alignment horizontal="left"/>
    </xf>
    <xf numFmtId="0" fontId="6" fillId="0" borderId="0" xfId="0" applyFont="1"/>
    <xf numFmtId="0" fontId="6" fillId="0" borderId="0" xfId="0" applyFont="1" applyProtection="1">
      <protection hidden="1"/>
    </xf>
    <xf numFmtId="0" fontId="0" fillId="0" borderId="0" xfId="0" applyAlignment="1" applyProtection="1">
      <alignment horizontal="center"/>
      <protection locked="0"/>
    </xf>
    <xf numFmtId="0" fontId="7" fillId="0" borderId="0" xfId="0" applyFont="1" applyAlignment="1">
      <alignment horizontal="left"/>
    </xf>
    <xf numFmtId="0" fontId="8" fillId="0" borderId="0" xfId="0" applyFont="1" applyProtection="1">
      <protection hidden="1"/>
    </xf>
    <xf numFmtId="0" fontId="9" fillId="0" borderId="0" xfId="0" applyFont="1" applyAlignment="1" applyProtection="1">
      <alignment horizontal="right" vertical="top"/>
      <protection locked="0"/>
    </xf>
    <xf numFmtId="0" fontId="10" fillId="0" borderId="0" xfId="0" applyFont="1"/>
    <xf numFmtId="0" fontId="11" fillId="0" borderId="0" xfId="0" applyFont="1" applyAlignment="1">
      <alignment horizontal="center"/>
    </xf>
    <xf numFmtId="0" fontId="15" fillId="0" borderId="0" xfId="0" applyFont="1" applyAlignment="1" applyProtection="1">
      <alignment horizontal="center"/>
      <protection locked="0"/>
    </xf>
    <xf numFmtId="0" fontId="16" fillId="0" borderId="0" xfId="0" applyFont="1" applyAlignment="1">
      <alignment horizontal="center"/>
    </xf>
    <xf numFmtId="0" fontId="14" fillId="0" borderId="0" xfId="0" applyFont="1" applyAlignment="1">
      <alignment horizontal="center"/>
    </xf>
    <xf numFmtId="0" fontId="14" fillId="0" borderId="3" xfId="0" applyFont="1" applyBorder="1" applyAlignment="1">
      <alignment horizontal="center"/>
    </xf>
    <xf numFmtId="0" fontId="14" fillId="0" borderId="0" xfId="0" applyFont="1"/>
    <xf numFmtId="0" fontId="14" fillId="0" borderId="5" xfId="0" applyFont="1" applyBorder="1" applyAlignment="1">
      <alignment horizontal="center"/>
    </xf>
    <xf numFmtId="0" fontId="17" fillId="0" borderId="0" xfId="0" applyFont="1" applyAlignment="1">
      <alignment horizontal="center"/>
    </xf>
    <xf numFmtId="0" fontId="19" fillId="0" borderId="5" xfId="0" applyFont="1" applyBorder="1" applyAlignment="1">
      <alignment horizontal="center"/>
    </xf>
    <xf numFmtId="0" fontId="18" fillId="0" borderId="0" xfId="0" applyFont="1" applyAlignment="1">
      <alignment horizontal="center"/>
    </xf>
    <xf numFmtId="0" fontId="21" fillId="0" borderId="0" xfId="0" applyFont="1" applyAlignment="1" applyProtection="1">
      <alignment horizontal="center"/>
      <protection hidden="1"/>
    </xf>
    <xf numFmtId="0" fontId="22" fillId="0" borderId="0" xfId="0" applyFont="1" applyAlignment="1">
      <alignment horizontal="center"/>
    </xf>
    <xf numFmtId="0" fontId="0" fillId="0" borderId="5" xfId="0" applyBorder="1" applyAlignment="1">
      <alignment horizontal="center"/>
    </xf>
    <xf numFmtId="0" fontId="23" fillId="0" borderId="0" xfId="0" applyFont="1" applyAlignment="1">
      <alignment horizontal="center"/>
    </xf>
    <xf numFmtId="0" fontId="24" fillId="0" borderId="0" xfId="0" applyFont="1" applyProtection="1">
      <protection locked="0"/>
    </xf>
    <xf numFmtId="0" fontId="24" fillId="0" borderId="0" xfId="0" applyFont="1" applyAlignment="1" applyProtection="1">
      <alignment horizontal="center"/>
      <protection locked="0"/>
    </xf>
    <xf numFmtId="0" fontId="24" fillId="0" borderId="5" xfId="0" applyFont="1" applyBorder="1" applyAlignment="1" applyProtection="1">
      <alignment horizontal="center"/>
      <protection locked="0"/>
    </xf>
    <xf numFmtId="0" fontId="7" fillId="0" borderId="0" xfId="0" applyFont="1" applyAlignment="1" applyProtection="1">
      <alignment horizontal="center"/>
      <protection locked="0"/>
    </xf>
    <xf numFmtId="0" fontId="27" fillId="0" borderId="0" xfId="0" applyFont="1" applyProtection="1">
      <protection locked="0"/>
    </xf>
    <xf numFmtId="0" fontId="24" fillId="0" borderId="0" xfId="0" applyFont="1" applyProtection="1">
      <protection hidden="1"/>
    </xf>
    <xf numFmtId="0" fontId="24" fillId="0" borderId="0" xfId="0" applyFont="1" applyAlignment="1" applyProtection="1">
      <alignment horizontal="center"/>
      <protection hidden="1"/>
    </xf>
    <xf numFmtId="0" fontId="24" fillId="0" borderId="5" xfId="0" applyFont="1" applyBorder="1" applyAlignment="1" applyProtection="1">
      <alignment horizontal="center"/>
      <protection hidden="1"/>
    </xf>
    <xf numFmtId="0" fontId="24" fillId="0" borderId="7" xfId="0" applyFont="1" applyBorder="1" applyAlignment="1" applyProtection="1">
      <alignment horizontal="center"/>
      <protection hidden="1"/>
    </xf>
    <xf numFmtId="0" fontId="28" fillId="0" borderId="0" xfId="0" applyFont="1" applyProtection="1">
      <protection hidden="1"/>
    </xf>
    <xf numFmtId="0" fontId="22" fillId="0" borderId="0" xfId="0" applyFont="1" applyAlignment="1" applyProtection="1">
      <alignment horizontal="center"/>
      <protection hidden="1"/>
    </xf>
    <xf numFmtId="0" fontId="28" fillId="0" borderId="0" xfId="0" applyFont="1" applyAlignment="1" applyProtection="1">
      <alignment horizontal="center"/>
      <protection hidden="1"/>
    </xf>
    <xf numFmtId="0" fontId="29" fillId="0" borderId="0" xfId="0" applyFont="1" applyAlignment="1" applyProtection="1">
      <alignment horizontal="center"/>
      <protection hidden="1"/>
    </xf>
    <xf numFmtId="0" fontId="30" fillId="0" borderId="0" xfId="0" applyFont="1" applyProtection="1">
      <protection hidden="1"/>
    </xf>
    <xf numFmtId="0" fontId="31" fillId="0" borderId="0" xfId="0" applyFont="1" applyProtection="1">
      <protection hidden="1"/>
    </xf>
    <xf numFmtId="0" fontId="32" fillId="0" borderId="0" xfId="0" applyFont="1" applyAlignment="1" applyProtection="1">
      <alignment horizontal="center"/>
      <protection hidden="1"/>
    </xf>
    <xf numFmtId="0" fontId="30" fillId="0" borderId="0" xfId="0" applyFont="1" applyAlignment="1" applyProtection="1">
      <alignment horizontal="center"/>
      <protection hidden="1"/>
    </xf>
    <xf numFmtId="0" fontId="33" fillId="0" borderId="0" xfId="0" applyFont="1" applyProtection="1">
      <protection hidden="1"/>
    </xf>
    <xf numFmtId="0" fontId="33" fillId="0" borderId="0" xfId="0" applyFont="1" applyAlignment="1" applyProtection="1">
      <alignment horizontal="center"/>
      <protection hidden="1"/>
    </xf>
    <xf numFmtId="0" fontId="34" fillId="0" borderId="0" xfId="0" applyFont="1" applyAlignment="1" applyProtection="1">
      <alignment horizontal="center"/>
      <protection hidden="1"/>
    </xf>
    <xf numFmtId="0" fontId="29" fillId="0" borderId="0" xfId="0" applyFont="1"/>
    <xf numFmtId="0" fontId="35" fillId="0" borderId="0" xfId="0" applyFont="1" applyAlignment="1">
      <alignment wrapText="1"/>
    </xf>
    <xf numFmtId="0" fontId="36" fillId="0" borderId="0" xfId="0" applyFont="1"/>
    <xf numFmtId="0" fontId="36" fillId="0" borderId="0" xfId="0" applyFont="1" applyAlignment="1">
      <alignment wrapText="1"/>
    </xf>
    <xf numFmtId="0" fontId="37" fillId="0" borderId="0" xfId="0" applyFont="1" applyAlignment="1">
      <alignment wrapText="1"/>
    </xf>
    <xf numFmtId="0" fontId="30" fillId="0" borderId="0" xfId="0" applyFont="1"/>
    <xf numFmtId="0" fontId="39" fillId="0" borderId="0" xfId="0" applyFont="1" applyAlignment="1">
      <alignment wrapText="1"/>
    </xf>
    <xf numFmtId="0" fontId="40" fillId="0" borderId="0" xfId="0" applyFont="1" applyAlignment="1">
      <alignment wrapText="1"/>
    </xf>
    <xf numFmtId="0" fontId="2" fillId="0" borderId="0" xfId="0" applyFont="1" applyAlignment="1">
      <alignment wrapText="1"/>
    </xf>
    <xf numFmtId="0" fontId="42" fillId="0" borderId="0" xfId="0" applyFont="1" applyAlignment="1">
      <alignment wrapText="1"/>
    </xf>
    <xf numFmtId="0" fontId="43" fillId="0" borderId="0" xfId="0" applyFont="1"/>
    <xf numFmtId="0" fontId="44" fillId="0" borderId="0" xfId="0" applyFont="1" applyAlignment="1">
      <alignment wrapText="1"/>
    </xf>
    <xf numFmtId="0" fontId="43" fillId="0" borderId="0" xfId="0" applyFont="1" applyAlignment="1">
      <alignment wrapText="1"/>
    </xf>
    <xf numFmtId="0" fontId="35" fillId="0" borderId="0" xfId="0" applyFont="1"/>
    <xf numFmtId="0" fontId="41" fillId="0" borderId="0" xfId="0" applyFont="1" applyAlignment="1">
      <alignment wrapText="1"/>
    </xf>
    <xf numFmtId="0" fontId="32" fillId="0" borderId="0" xfId="0" applyFont="1"/>
    <xf numFmtId="0" fontId="32" fillId="0" borderId="0" xfId="0" applyFont="1" applyAlignment="1">
      <alignment wrapText="1"/>
    </xf>
    <xf numFmtId="0" fontId="29" fillId="0" borderId="0" xfId="0" applyFont="1" applyAlignment="1">
      <alignment wrapText="1"/>
    </xf>
    <xf numFmtId="0" fontId="48" fillId="0" borderId="0" xfId="0" applyFont="1" applyAlignment="1">
      <alignment wrapText="1"/>
    </xf>
    <xf numFmtId="4" fontId="10" fillId="0" borderId="0" xfId="0" applyNumberFormat="1" applyFont="1"/>
    <xf numFmtId="4" fontId="16" fillId="0" borderId="4" xfId="0" applyNumberFormat="1" applyFont="1" applyBorder="1" applyAlignment="1">
      <alignment horizontal="center"/>
    </xf>
    <xf numFmtId="4" fontId="14" fillId="0" borderId="6" xfId="0" applyNumberFormat="1" applyFont="1" applyBorder="1" applyAlignment="1">
      <alignment horizontal="center"/>
    </xf>
    <xf numFmtId="4" fontId="20" fillId="0" borderId="6" xfId="0" applyNumberFormat="1" applyFont="1" applyBorder="1" applyAlignment="1">
      <alignment horizontal="center"/>
    </xf>
    <xf numFmtId="4" fontId="3" fillId="0" borderId="6" xfId="0" applyNumberFormat="1" applyFont="1" applyBorder="1" applyAlignment="1">
      <alignment horizontal="center"/>
    </xf>
    <xf numFmtId="4" fontId="25" fillId="0" borderId="6" xfId="0" applyNumberFormat="1" applyFont="1" applyBorder="1" applyAlignment="1" applyProtection="1">
      <alignment horizontal="center"/>
      <protection hidden="1"/>
    </xf>
    <xf numFmtId="4" fontId="3" fillId="0" borderId="0" xfId="0" applyNumberFormat="1" applyFont="1" applyAlignment="1" applyProtection="1">
      <alignment horizontal="center"/>
      <protection hidden="1"/>
    </xf>
    <xf numFmtId="4" fontId="3" fillId="0" borderId="0" xfId="0" applyNumberFormat="1" applyFont="1" applyAlignment="1">
      <alignment horizontal="center"/>
    </xf>
    <xf numFmtId="0" fontId="50" fillId="2" borderId="1" xfId="0" applyFont="1" applyFill="1" applyBorder="1" applyProtection="1">
      <protection hidden="1"/>
    </xf>
    <xf numFmtId="0" fontId="51" fillId="2" borderId="1" xfId="0" applyFont="1" applyFill="1" applyBorder="1" applyProtection="1">
      <protection hidden="1"/>
    </xf>
    <xf numFmtId="0" fontId="50" fillId="2" borderId="2" xfId="0" applyFont="1" applyFill="1" applyBorder="1" applyProtection="1">
      <protection hidden="1"/>
    </xf>
    <xf numFmtId="0" fontId="50" fillId="2" borderId="0" xfId="0" applyFont="1" applyFill="1" applyProtection="1">
      <protection hidden="1"/>
    </xf>
    <xf numFmtId="0" fontId="54" fillId="0" borderId="0" xfId="0" applyFont="1" applyAlignment="1" applyProtection="1">
      <alignment horizontal="center"/>
      <protection hidden="1"/>
    </xf>
    <xf numFmtId="0" fontId="43" fillId="0" borderId="0" xfId="0" applyFont="1" applyAlignment="1">
      <alignment horizontal="left"/>
    </xf>
    <xf numFmtId="4" fontId="29" fillId="0" borderId="0" xfId="0" applyNumberFormat="1" applyFont="1"/>
    <xf numFmtId="4" fontId="4" fillId="0" borderId="0" xfId="0" applyNumberFormat="1" applyFont="1" applyAlignment="1" applyProtection="1">
      <alignment horizontal="right" vertical="top"/>
      <protection hidden="1"/>
    </xf>
    <xf numFmtId="4" fontId="9" fillId="0" borderId="0" xfId="0" applyNumberFormat="1" applyFont="1" applyAlignment="1" applyProtection="1">
      <alignment horizontal="right" vertical="top"/>
      <protection hidden="1"/>
    </xf>
    <xf numFmtId="4" fontId="14" fillId="0" borderId="1" xfId="0" applyNumberFormat="1" applyFont="1" applyBorder="1" applyAlignment="1">
      <alignment horizontal="center"/>
    </xf>
    <xf numFmtId="4" fontId="14" fillId="0" borderId="0" xfId="0" applyNumberFormat="1" applyFont="1" applyAlignment="1">
      <alignment horizontal="center"/>
    </xf>
    <xf numFmtId="4" fontId="20" fillId="0" borderId="0" xfId="0" applyNumberFormat="1" applyFont="1" applyAlignment="1">
      <alignment horizontal="center"/>
    </xf>
    <xf numFmtId="4" fontId="24" fillId="0" borderId="0" xfId="0" applyNumberFormat="1" applyFont="1" applyAlignment="1" applyProtection="1">
      <alignment horizontal="center"/>
      <protection locked="0"/>
    </xf>
    <xf numFmtId="4" fontId="24" fillId="0" borderId="0" xfId="0" applyNumberFormat="1" applyFont="1" applyAlignment="1" applyProtection="1">
      <alignment horizontal="center"/>
      <protection hidden="1"/>
    </xf>
    <xf numFmtId="4" fontId="24" fillId="0" borderId="8" xfId="0" applyNumberFormat="1" applyFont="1" applyBorder="1" applyAlignment="1" applyProtection="1">
      <alignment horizontal="center"/>
      <protection hidden="1"/>
    </xf>
    <xf numFmtId="4" fontId="26" fillId="0" borderId="0" xfId="0" applyNumberFormat="1" applyFont="1" applyAlignment="1" applyProtection="1">
      <alignment horizontal="center"/>
      <protection hidden="1"/>
    </xf>
    <xf numFmtId="4" fontId="0" fillId="0" borderId="0" xfId="0" applyNumberFormat="1" applyAlignment="1" applyProtection="1">
      <alignment horizontal="center"/>
      <protection hidden="1"/>
    </xf>
    <xf numFmtId="4" fontId="0" fillId="0" borderId="0" xfId="0" applyNumberFormat="1" applyAlignment="1" applyProtection="1">
      <alignment horizontal="center"/>
      <protection locked="0"/>
    </xf>
    <xf numFmtId="4" fontId="22" fillId="0" borderId="0" xfId="0" applyNumberFormat="1" applyFont="1" applyAlignment="1" applyProtection="1">
      <alignment horizontal="center"/>
      <protection hidden="1"/>
    </xf>
    <xf numFmtId="4" fontId="32" fillId="0" borderId="0" xfId="0" applyNumberFormat="1" applyFont="1" applyAlignment="1" applyProtection="1">
      <alignment horizontal="right"/>
      <protection hidden="1"/>
    </xf>
    <xf numFmtId="4" fontId="32" fillId="0" borderId="0" xfId="0" applyNumberFormat="1" applyFont="1" applyAlignment="1" applyProtection="1">
      <alignment horizontal="center"/>
      <protection hidden="1"/>
    </xf>
    <xf numFmtId="4" fontId="33" fillId="0" borderId="0" xfId="0" applyNumberFormat="1" applyFont="1" applyAlignment="1" applyProtection="1">
      <alignment horizontal="center"/>
      <protection hidden="1"/>
    </xf>
    <xf numFmtId="4" fontId="28" fillId="0" borderId="0" xfId="0" applyNumberFormat="1" applyFont="1" applyAlignment="1" applyProtection="1">
      <alignment horizontal="center"/>
      <protection hidden="1"/>
    </xf>
    <xf numFmtId="4" fontId="29" fillId="0" borderId="0" xfId="0" applyNumberFormat="1" applyFont="1" applyAlignment="1" applyProtection="1">
      <alignment horizontal="center"/>
      <protection hidden="1"/>
    </xf>
    <xf numFmtId="1" fontId="32" fillId="0" borderId="0" xfId="0" applyNumberFormat="1" applyFont="1" applyAlignment="1" applyProtection="1">
      <alignment horizontal="center"/>
      <protection hidden="1"/>
    </xf>
    <xf numFmtId="4" fontId="56" fillId="2" borderId="1" xfId="0" applyNumberFormat="1" applyFont="1" applyFill="1" applyBorder="1" applyProtection="1">
      <protection hidden="1"/>
    </xf>
    <xf numFmtId="0" fontId="0" fillId="0" borderId="0" xfId="0" applyProtection="1">
      <protection hidden="1"/>
    </xf>
    <xf numFmtId="0" fontId="0" fillId="0" borderId="0" xfId="0" applyAlignment="1" applyProtection="1">
      <alignment horizontal="center"/>
      <protection hidden="1"/>
    </xf>
    <xf numFmtId="0" fontId="0" fillId="0" borderId="0" xfId="0" applyProtection="1">
      <protection locked="0"/>
    </xf>
    <xf numFmtId="0" fontId="12" fillId="0" borderId="0" xfId="0" applyFont="1" applyAlignment="1" applyProtection="1">
      <alignment horizontal="center"/>
      <protection locked="0"/>
    </xf>
    <xf numFmtId="0" fontId="13" fillId="0" borderId="0" xfId="0" applyFont="1" applyAlignment="1" applyProtection="1">
      <alignment horizontal="center"/>
      <protection locked="0"/>
    </xf>
    <xf numFmtId="4" fontId="55" fillId="0" borderId="0" xfId="0" applyNumberFormat="1" applyFont="1" applyAlignment="1">
      <alignment horizontal="left"/>
    </xf>
    <xf numFmtId="0" fontId="55" fillId="0" borderId="0" xfId="0" applyFont="1" applyAlignment="1">
      <alignment horizontal="left"/>
    </xf>
    <xf numFmtId="0" fontId="18" fillId="3" borderId="0" xfId="0" applyFont="1" applyFill="1" applyAlignment="1" applyProtection="1">
      <alignment horizontal="center"/>
      <protection locked="0" hidden="1"/>
    </xf>
    <xf numFmtId="0" fontId="18" fillId="3" borderId="0" xfId="0" applyFont="1" applyFill="1" applyAlignment="1" applyProtection="1">
      <alignment horizontal="center"/>
      <protection locked="0"/>
    </xf>
    <xf numFmtId="0" fontId="57" fillId="3" borderId="0" xfId="0" applyFont="1" applyFill="1" applyAlignment="1" applyProtection="1">
      <alignment horizontal="center"/>
      <protection locked="0"/>
    </xf>
  </cellXfs>
  <cellStyles count="1">
    <cellStyle name="Normal" xfId="0" builtinId="0"/>
  </cellStyles>
  <dxfs count="9">
    <dxf>
      <font>
        <color rgb="FF9C0006"/>
      </font>
      <fill>
        <patternFill>
          <bgColor rgb="FFFFC7CE"/>
        </patternFill>
      </fill>
    </dxf>
    <dxf>
      <font>
        <color rgb="FF9C0006"/>
      </font>
    </dxf>
    <dxf>
      <font>
        <color rgb="FF9C5700"/>
      </font>
      <fill>
        <patternFill>
          <bgColor rgb="FFFFEB9C"/>
        </patternFill>
      </fill>
    </dxf>
    <dxf>
      <fill>
        <patternFill>
          <bgColor rgb="FFFFC7CE"/>
        </patternFill>
      </fill>
    </dxf>
    <dxf>
      <fill>
        <patternFill>
          <bgColor rgb="FFFFC7CE"/>
        </patternFill>
      </fill>
    </dxf>
    <dxf>
      <border>
        <left style="thin">
          <color rgb="FF9C0006"/>
        </left>
        <right style="thin">
          <color rgb="FF9C0006"/>
        </right>
        <top style="thin">
          <color rgb="FF9C0006"/>
        </top>
        <bottom style="thin">
          <color rgb="FF9C0006"/>
        </bottom>
      </border>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2A6099"/>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BF00"/>
      <rgbColor rgb="FFFF972F"/>
      <rgbColor rgb="FFFF4000"/>
      <rgbColor rgb="FF5983B0"/>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CLT - T&#211;PICOS IMPORTANTES'!A1"/><Relationship Id="rId2" Type="http://schemas.openxmlformats.org/officeDocument/2006/relationships/hyperlink" Target="#'RELAT&#211;RIO VALES'!A1"/><Relationship Id="rId1" Type="http://schemas.openxmlformats.org/officeDocument/2006/relationships/image" Target="../media/image2.emf"/><Relationship Id="rId5" Type="http://schemas.openxmlformats.org/officeDocument/2006/relationships/hyperlink" Target="#'VALE TRANSPORTES C&#193;LCULO'!A1"/><Relationship Id="rId4" Type="http://schemas.openxmlformats.org/officeDocument/2006/relationships/hyperlink" Target="#JUSTA_CAUSA_Descritivo"/></Relationships>
</file>

<file path=xl/drawings/_rels/drawing2.xml.rels><?xml version="1.0" encoding="UTF-8" standalone="yes"?>
<Relationships xmlns="http://schemas.openxmlformats.org/package/2006/relationships"><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64440</xdr:colOff>
      <xdr:row>0</xdr:row>
      <xdr:rowOff>58680</xdr:rowOff>
    </xdr:from>
    <xdr:to>
      <xdr:col>3</xdr:col>
      <xdr:colOff>458280</xdr:colOff>
      <xdr:row>0</xdr:row>
      <xdr:rowOff>1455120</xdr:rowOff>
    </xdr:to>
    <xdr:sp macro="" textlink="">
      <xdr:nvSpPr>
        <xdr:cNvPr id="2" name="Forma 6">
          <a:extLst>
            <a:ext uri="{FF2B5EF4-FFF2-40B4-BE49-F238E27FC236}">
              <a16:creationId xmlns:a16="http://schemas.microsoft.com/office/drawing/2014/main" id="{00000000-0008-0000-0000-000002000000}"/>
            </a:ext>
          </a:extLst>
        </xdr:cNvPr>
        <xdr:cNvSpPr/>
      </xdr:nvSpPr>
      <xdr:spPr>
        <a:xfrm>
          <a:off x="64440" y="58680"/>
          <a:ext cx="2832120" cy="1396440"/>
        </a:xfrm>
        <a:prstGeom prst="rect">
          <a:avLst/>
        </a:prstGeom>
        <a:solidFill>
          <a:srgbClr val="729FCF"/>
        </a:solidFill>
        <a:ln w="180000">
          <a:noFill/>
        </a:ln>
      </xdr:spPr>
      <xdr:style>
        <a:lnRef idx="0">
          <a:scrgbClr r="0" g="0" b="0"/>
        </a:lnRef>
        <a:fillRef idx="0">
          <a:scrgbClr r="0" g="0" b="0"/>
        </a:fillRef>
        <a:effectRef idx="0">
          <a:scrgbClr r="0" g="0" b="0"/>
        </a:effectRef>
        <a:fontRef idx="minor"/>
      </xdr:style>
    </xdr:sp>
    <xdr:clientData/>
  </xdr:twoCellAnchor>
  <xdr:twoCellAnchor editAs="oneCell">
    <xdr:from>
      <xdr:col>0</xdr:col>
      <xdr:colOff>124560</xdr:colOff>
      <xdr:row>0</xdr:row>
      <xdr:rowOff>313920</xdr:rowOff>
    </xdr:from>
    <xdr:to>
      <xdr:col>3</xdr:col>
      <xdr:colOff>365400</xdr:colOff>
      <xdr:row>0</xdr:row>
      <xdr:rowOff>1400760</xdr:rowOff>
    </xdr:to>
    <xdr:pic>
      <xdr:nvPicPr>
        <xdr:cNvPr id="3" name="Figura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a:stretch/>
      </xdr:blipFill>
      <xdr:spPr>
        <a:xfrm rot="21587400">
          <a:off x="128880" y="313560"/>
          <a:ext cx="2679120" cy="1086840"/>
        </a:xfrm>
        <a:prstGeom prst="rect">
          <a:avLst/>
        </a:prstGeom>
        <a:gradFill rotWithShape="0">
          <a:gsLst>
            <a:gs pos="0">
              <a:srgbClr val="B4C7DC"/>
            </a:gs>
            <a:gs pos="100000">
              <a:srgbClr val="DEE6EF"/>
            </a:gs>
          </a:gsLst>
          <a:lin ang="5340000"/>
        </a:gradFill>
        <a:ln w="936000">
          <a:noFill/>
        </a:ln>
      </xdr:spPr>
    </xdr:pic>
    <xdr:clientData/>
  </xdr:twoCellAnchor>
  <xdr:twoCellAnchor editAs="oneCell">
    <xdr:from>
      <xdr:col>11</xdr:col>
      <xdr:colOff>2160</xdr:colOff>
      <xdr:row>0</xdr:row>
      <xdr:rowOff>1029960</xdr:rowOff>
    </xdr:from>
    <xdr:to>
      <xdr:col>11</xdr:col>
      <xdr:colOff>2553480</xdr:colOff>
      <xdr:row>0</xdr:row>
      <xdr:rowOff>1446120</xdr:rowOff>
    </xdr:to>
    <xdr:sp macro="" textlink="">
      <xdr:nvSpPr>
        <xdr:cNvPr id="4" name="Quadro de texto 5">
          <a:extLst>
            <a:ext uri="{FF2B5EF4-FFF2-40B4-BE49-F238E27FC236}">
              <a16:creationId xmlns:a16="http://schemas.microsoft.com/office/drawing/2014/main" id="{00000000-0008-0000-0000-000004000000}"/>
            </a:ext>
          </a:extLst>
        </xdr:cNvPr>
        <xdr:cNvSpPr txBox="1"/>
      </xdr:nvSpPr>
      <xdr:spPr>
        <a:xfrm>
          <a:off x="8943120" y="1029960"/>
          <a:ext cx="2551320" cy="416160"/>
        </a:xfrm>
        <a:prstGeom prst="rect">
          <a:avLst/>
        </a:prstGeom>
        <a:noFill/>
        <a:ln w="0">
          <a:noFill/>
        </a:ln>
      </xdr:spPr>
      <xdr:txBody>
        <a:bodyPr lIns="0" tIns="0" rIns="0" bIns="0" anchor="t">
          <a:noAutofit/>
          <a:scene3d>
            <a:camera prst="orthographicFront"/>
            <a:lightRig rig="threePt" dir="t"/>
          </a:scene3d>
          <a:sp3d extrusionH="57150" contourW="12700">
            <a:extrusionClr>
              <a:schemeClr val="accent5">
                <a:lumMod val="40000"/>
                <a:lumOff val="60000"/>
              </a:schemeClr>
            </a:extrusionClr>
            <a:contourClr>
              <a:schemeClr val="accent5">
                <a:lumMod val="40000"/>
                <a:lumOff val="60000"/>
              </a:schemeClr>
            </a:contourClr>
          </a:sp3d>
        </a:bodyPr>
        <a:lstStyle/>
        <a:p>
          <a:r>
            <a:rPr lang="pt-BR" sz="1200" b="0" u="none" strike="noStrike">
              <a:effectLst/>
              <a:uFillTx/>
              <a:latin typeface="Times New Roman"/>
            </a:rPr>
            <a:t>Planilha de Cálculo Licenciada para:</a:t>
          </a:r>
        </a:p>
      </xdr:txBody>
    </xdr:sp>
    <xdr:clientData/>
  </xdr:twoCellAnchor>
  <xdr:twoCellAnchor editAs="oneCell">
    <xdr:from>
      <xdr:col>1</xdr:col>
      <xdr:colOff>718200</xdr:colOff>
      <xdr:row>1</xdr:row>
      <xdr:rowOff>32400</xdr:rowOff>
    </xdr:from>
    <xdr:to>
      <xdr:col>3</xdr:col>
      <xdr:colOff>550800</xdr:colOff>
      <xdr:row>1</xdr:row>
      <xdr:rowOff>496080</xdr:rowOff>
    </xdr:to>
    <xdr:sp macro="" textlink="">
      <xdr:nvSpPr>
        <xdr:cNvPr id="5" name="Forma 12" title="Cálculo Vale Transporte">
          <a:hlinkClick xmlns:r="http://schemas.openxmlformats.org/officeDocument/2006/relationships" r:id="rId2"/>
          <a:extLst>
            <a:ext uri="{FF2B5EF4-FFF2-40B4-BE49-F238E27FC236}">
              <a16:creationId xmlns:a16="http://schemas.microsoft.com/office/drawing/2014/main" id="{00000000-0008-0000-0000-000005000000}"/>
            </a:ext>
            <a:ext uri="{C183D7F6-B498-43B3-948B-1728B52AA6E4}">
              <adec:decorative xmlns:adec="http://schemas.microsoft.com/office/drawing/2017/decorative" val="1"/>
            </a:ext>
          </a:extLst>
        </xdr:cNvPr>
        <xdr:cNvSpPr/>
      </xdr:nvSpPr>
      <xdr:spPr>
        <a:xfrm>
          <a:off x="1531080" y="1537200"/>
          <a:ext cx="1458000" cy="46368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Relatório</a:t>
          </a:r>
        </a:p>
      </xdr:txBody>
    </xdr:sp>
    <xdr:clientData/>
  </xdr:twoCellAnchor>
  <xdr:twoCellAnchor editAs="oneCell">
    <xdr:from>
      <xdr:col>3</xdr:col>
      <xdr:colOff>516960</xdr:colOff>
      <xdr:row>1</xdr:row>
      <xdr:rowOff>33840</xdr:rowOff>
    </xdr:from>
    <xdr:to>
      <xdr:col>5</xdr:col>
      <xdr:colOff>349200</xdr:colOff>
      <xdr:row>1</xdr:row>
      <xdr:rowOff>491040</xdr:rowOff>
    </xdr:to>
    <xdr:sp macro="" textlink="">
      <xdr:nvSpPr>
        <xdr:cNvPr id="6" name="Forma 13" title="Cálculo Vale Transporte">
          <a:hlinkClick xmlns:r="http://schemas.openxmlformats.org/officeDocument/2006/relationships" r:id="rId3"/>
          <a:extLst>
            <a:ext uri="{FF2B5EF4-FFF2-40B4-BE49-F238E27FC236}">
              <a16:creationId xmlns:a16="http://schemas.microsoft.com/office/drawing/2014/main" id="{00000000-0008-0000-0000-000006000000}"/>
            </a:ext>
            <a:ext uri="{C183D7F6-B498-43B3-948B-1728B52AA6E4}">
              <adec:decorative xmlns:adec="http://schemas.microsoft.com/office/drawing/2017/decorative" val="1"/>
            </a:ext>
          </a:extLst>
        </xdr:cNvPr>
        <xdr:cNvSpPr/>
      </xdr:nvSpPr>
      <xdr:spPr>
        <a:xfrm>
          <a:off x="2955240" y="1538640"/>
          <a:ext cx="1458000" cy="45720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CLT Tópicos</a:t>
          </a:r>
        </a:p>
      </xdr:txBody>
    </xdr:sp>
    <xdr:clientData/>
  </xdr:twoCellAnchor>
  <xdr:twoCellAnchor editAs="oneCell">
    <xdr:from>
      <xdr:col>5</xdr:col>
      <xdr:colOff>322200</xdr:colOff>
      <xdr:row>1</xdr:row>
      <xdr:rowOff>38880</xdr:rowOff>
    </xdr:from>
    <xdr:to>
      <xdr:col>7</xdr:col>
      <xdr:colOff>154800</xdr:colOff>
      <xdr:row>1</xdr:row>
      <xdr:rowOff>489600</xdr:rowOff>
    </xdr:to>
    <xdr:sp macro="[0]!Forma14_Clique" textlink="">
      <xdr:nvSpPr>
        <xdr:cNvPr id="7" name="Forma 14" title="Cálculo Vale Transporte">
          <a:hlinkClick xmlns:r="http://schemas.openxmlformats.org/officeDocument/2006/relationships" r:id="rId4"/>
          <a:extLst>
            <a:ext uri="{FF2B5EF4-FFF2-40B4-BE49-F238E27FC236}">
              <a16:creationId xmlns:a16="http://schemas.microsoft.com/office/drawing/2014/main" id="{00000000-0008-0000-0000-000007000000}"/>
            </a:ext>
            <a:ext uri="{C183D7F6-B498-43B3-948B-1728B52AA6E4}">
              <adec:decorative xmlns:adec="http://schemas.microsoft.com/office/drawing/2017/decorative" val="1"/>
            </a:ext>
          </a:extLst>
        </xdr:cNvPr>
        <xdr:cNvSpPr/>
      </xdr:nvSpPr>
      <xdr:spPr>
        <a:xfrm>
          <a:off x="4386240" y="1543680"/>
          <a:ext cx="1458000" cy="45072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Atos Justa Causa</a:t>
          </a:r>
        </a:p>
      </xdr:txBody>
    </xdr:sp>
    <xdr:clientData/>
  </xdr:twoCellAnchor>
  <xdr:twoCellAnchor editAs="oneCell">
    <xdr:from>
      <xdr:col>0</xdr:col>
      <xdr:colOff>360</xdr:colOff>
      <xdr:row>2</xdr:row>
      <xdr:rowOff>29160</xdr:rowOff>
    </xdr:from>
    <xdr:to>
      <xdr:col>5</xdr:col>
      <xdr:colOff>406080</xdr:colOff>
      <xdr:row>4</xdr:row>
      <xdr:rowOff>128520</xdr:rowOff>
    </xdr:to>
    <xdr:sp macro="" textlink="">
      <xdr:nvSpPr>
        <xdr:cNvPr id="9" name="Forma 9">
          <a:extLst>
            <a:ext uri="{FF2B5EF4-FFF2-40B4-BE49-F238E27FC236}">
              <a16:creationId xmlns:a16="http://schemas.microsoft.com/office/drawing/2014/main" id="{00000000-0008-0000-0000-000009000000}"/>
            </a:ext>
          </a:extLst>
        </xdr:cNvPr>
        <xdr:cNvSpPr/>
      </xdr:nvSpPr>
      <xdr:spPr>
        <a:xfrm>
          <a:off x="360" y="2112120"/>
          <a:ext cx="4469760" cy="424440"/>
        </a:xfrm>
        <a:prstGeom prst="roundRect">
          <a:avLst>
            <a:gd name="adj" fmla="val 16667"/>
          </a:avLst>
        </a:prstGeom>
        <a:solidFill>
          <a:srgbClr val="FFFFA6"/>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Planilha para empresa c/até 15 (quinze) funcionários!</a:t>
          </a:r>
        </a:p>
      </xdr:txBody>
    </xdr:sp>
    <xdr:clientData/>
  </xdr:twoCellAnchor>
  <xdr:twoCellAnchor editAs="oneCell">
    <xdr:from>
      <xdr:col>0</xdr:col>
      <xdr:colOff>0</xdr:colOff>
      <xdr:row>4</xdr:row>
      <xdr:rowOff>153000</xdr:rowOff>
    </xdr:from>
    <xdr:to>
      <xdr:col>5</xdr:col>
      <xdr:colOff>405720</xdr:colOff>
      <xdr:row>7</xdr:row>
      <xdr:rowOff>90000</xdr:rowOff>
    </xdr:to>
    <xdr:sp macro="" textlink="">
      <xdr:nvSpPr>
        <xdr:cNvPr id="10" name="Forma 10">
          <a:extLst>
            <a:ext uri="{FF2B5EF4-FFF2-40B4-BE49-F238E27FC236}">
              <a16:creationId xmlns:a16="http://schemas.microsoft.com/office/drawing/2014/main" id="{00000000-0008-0000-0000-00000A000000}"/>
            </a:ext>
          </a:extLst>
        </xdr:cNvPr>
        <xdr:cNvSpPr/>
      </xdr:nvSpPr>
      <xdr:spPr>
        <a:xfrm>
          <a:off x="0" y="2561040"/>
          <a:ext cx="4469760" cy="424440"/>
        </a:xfrm>
        <a:prstGeom prst="roundRect">
          <a:avLst>
            <a:gd name="adj" fmla="val 16667"/>
          </a:avLst>
        </a:prstGeom>
        <a:solidFill>
          <a:srgbClr val="FFFFA6"/>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Ajuda: (53)991226768 - Reis</a:t>
          </a:r>
        </a:p>
      </xdr:txBody>
    </xdr:sp>
    <xdr:clientData/>
  </xdr:twoCellAnchor>
  <xdr:twoCellAnchor editAs="absolute">
    <xdr:from>
      <xdr:col>0</xdr:col>
      <xdr:colOff>122400</xdr:colOff>
      <xdr:row>0</xdr:row>
      <xdr:rowOff>120600</xdr:rowOff>
    </xdr:from>
    <xdr:to>
      <xdr:col>3</xdr:col>
      <xdr:colOff>361440</xdr:colOff>
      <xdr:row>0</xdr:row>
      <xdr:rowOff>366840</xdr:rowOff>
    </xdr:to>
    <xdr:sp macro="" textlink="">
      <xdr:nvSpPr>
        <xdr:cNvPr id="11" name="Quadro de texto 3">
          <a:extLst>
            <a:ext uri="{FF2B5EF4-FFF2-40B4-BE49-F238E27FC236}">
              <a16:creationId xmlns:a16="http://schemas.microsoft.com/office/drawing/2014/main" id="{00000000-0008-0000-0000-00000B000000}"/>
            </a:ext>
          </a:extLst>
        </xdr:cNvPr>
        <xdr:cNvSpPr txBox="1"/>
      </xdr:nvSpPr>
      <xdr:spPr>
        <a:xfrm>
          <a:off x="122400" y="120600"/>
          <a:ext cx="2677320" cy="246240"/>
        </a:xfrm>
        <a:prstGeom prst="rect">
          <a:avLst/>
        </a:prstGeom>
        <a:gradFill rotWithShape="0">
          <a:gsLst>
            <a:gs pos="0">
              <a:srgbClr val="B4C7DC"/>
            </a:gs>
            <a:gs pos="100000">
              <a:srgbClr val="DEE6EF"/>
            </a:gs>
          </a:gsLst>
          <a:lin ang="5340000"/>
        </a:gradFill>
        <a:ln w="936000">
          <a:noFill/>
        </a:ln>
      </xdr:spPr>
      <xdr:txBody>
        <a:bodyPr lIns="0" tIns="0" rIns="0" bIns="0" anchor="t">
          <a:noAutofit/>
        </a:bodyPr>
        <a:lstStyle/>
        <a:p>
          <a:r>
            <a:rPr lang="pt-BR" sz="1200" b="0" u="none" strike="noStrike">
              <a:effectLst/>
              <a:uFillTx/>
              <a:latin typeface="Times New Roman"/>
            </a:rPr>
            <a:t>                      DR V A L E  </a:t>
          </a:r>
        </a:p>
      </xdr:txBody>
    </xdr:sp>
    <xdr:clientData/>
  </xdr:twoCellAnchor>
  <xdr:twoCellAnchor editAs="absolute">
    <xdr:from>
      <xdr:col>5</xdr:col>
      <xdr:colOff>548280</xdr:colOff>
      <xdr:row>0</xdr:row>
      <xdr:rowOff>470160</xdr:rowOff>
    </xdr:from>
    <xdr:to>
      <xdr:col>11</xdr:col>
      <xdr:colOff>6120</xdr:colOff>
      <xdr:row>0</xdr:row>
      <xdr:rowOff>894600</xdr:rowOff>
    </xdr:to>
    <xdr:sp macro="" textlink="">
      <xdr:nvSpPr>
        <xdr:cNvPr id="12" name="Forma 3">
          <a:extLst>
            <a:ext uri="{FF2B5EF4-FFF2-40B4-BE49-F238E27FC236}">
              <a16:creationId xmlns:a16="http://schemas.microsoft.com/office/drawing/2014/main" id="{00000000-0008-0000-0000-00000C000000}"/>
            </a:ext>
          </a:extLst>
        </xdr:cNvPr>
        <xdr:cNvSpPr/>
      </xdr:nvSpPr>
      <xdr:spPr>
        <a:xfrm>
          <a:off x="4612320" y="470160"/>
          <a:ext cx="4334760" cy="424440"/>
        </a:xfrm>
        <a:prstGeom prst="roundRect">
          <a:avLst>
            <a:gd name="adj" fmla="val 16667"/>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Um jeito fácil de calcular o Vale Transporte da sua empresa!</a:t>
          </a:r>
        </a:p>
      </xdr:txBody>
    </xdr:sp>
    <xdr:clientData/>
  </xdr:twoCellAnchor>
  <xdr:twoCellAnchor editAs="oneCell">
    <xdr:from>
      <xdr:col>0</xdr:col>
      <xdr:colOff>90360</xdr:colOff>
      <xdr:row>1</xdr:row>
      <xdr:rowOff>38880</xdr:rowOff>
    </xdr:from>
    <xdr:to>
      <xdr:col>1</xdr:col>
      <xdr:colOff>735480</xdr:colOff>
      <xdr:row>1</xdr:row>
      <xdr:rowOff>496080</xdr:rowOff>
    </xdr:to>
    <xdr:sp macro="" textlink="">
      <xdr:nvSpPr>
        <xdr:cNvPr id="13" name="Forma 11" title="Cálculo Vale Transporte">
          <a:hlinkClick xmlns:r="http://schemas.openxmlformats.org/officeDocument/2006/relationships" r:id="rId5"/>
          <a:extLst>
            <a:ext uri="{FF2B5EF4-FFF2-40B4-BE49-F238E27FC236}">
              <a16:creationId xmlns:a16="http://schemas.microsoft.com/office/drawing/2014/main" id="{00000000-0008-0000-0000-00000D000000}"/>
            </a:ext>
            <a:ext uri="{C183D7F6-B498-43B3-948B-1728B52AA6E4}">
              <adec:decorative xmlns:adec="http://schemas.microsoft.com/office/drawing/2017/decorative" val="1"/>
            </a:ext>
          </a:extLst>
        </xdr:cNvPr>
        <xdr:cNvSpPr/>
      </xdr:nvSpPr>
      <xdr:spPr>
        <a:xfrm>
          <a:off x="90360" y="1543680"/>
          <a:ext cx="1458000" cy="45720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Calcular Vales</a:t>
          </a:r>
        </a:p>
      </xdr:txBody>
    </xdr:sp>
    <xdr:clientData/>
  </xdr:twoCellAnchor>
  <mc:AlternateContent xmlns:mc="http://schemas.openxmlformats.org/markup-compatibility/2006">
    <mc:Choice xmlns:a14="http://schemas.microsoft.com/office/drawing/2010/main" Requires="a14">
      <xdr:twoCellAnchor editAs="oneCell">
        <xdr:from>
          <xdr:col>7</xdr:col>
          <xdr:colOff>184150</xdr:colOff>
          <xdr:row>1</xdr:row>
          <xdr:rowOff>31750</xdr:rowOff>
        </xdr:from>
        <xdr:to>
          <xdr:col>8</xdr:col>
          <xdr:colOff>774700</xdr:colOff>
          <xdr:row>1</xdr:row>
          <xdr:rowOff>520700</xdr:rowOff>
        </xdr:to>
        <xdr:sp macro="" textlink="">
          <xdr:nvSpPr>
            <xdr:cNvPr id="1027" name="SalvarSair"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4</xdr:col>
      <xdr:colOff>184485</xdr:colOff>
      <xdr:row>4</xdr:row>
      <xdr:rowOff>60484</xdr:rowOff>
    </xdr:from>
    <xdr:to>
      <xdr:col>5</xdr:col>
      <xdr:colOff>427916</xdr:colOff>
      <xdr:row>5</xdr:row>
      <xdr:rowOff>8207</xdr:rowOff>
    </xdr:to>
    <xdr:sp macro="" textlink="">
      <xdr:nvSpPr>
        <xdr:cNvPr id="13" name="Forma 1">
          <a:extLst>
            <a:ext uri="{FF2B5EF4-FFF2-40B4-BE49-F238E27FC236}">
              <a16:creationId xmlns:a16="http://schemas.microsoft.com/office/drawing/2014/main" id="{00000000-0008-0000-0100-00000D000000}"/>
            </a:ext>
          </a:extLst>
        </xdr:cNvPr>
        <xdr:cNvSpPr/>
      </xdr:nvSpPr>
      <xdr:spPr>
        <a:xfrm rot="13200">
          <a:off x="4508835" y="993934"/>
          <a:ext cx="967331" cy="176323"/>
        </a:xfrm>
        <a:prstGeom prst="rightArrow">
          <a:avLst>
            <a:gd name="adj1" fmla="val 64417"/>
            <a:gd name="adj2" fmla="val 110058"/>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sp>
    <xdr:clientData/>
  </xdr:twoCellAnchor>
  <xdr:twoCellAnchor editAs="absolute">
    <xdr:from>
      <xdr:col>0</xdr:col>
      <xdr:colOff>563370</xdr:colOff>
      <xdr:row>0</xdr:row>
      <xdr:rowOff>0</xdr:rowOff>
    </xdr:from>
    <xdr:to>
      <xdr:col>0</xdr:col>
      <xdr:colOff>705210</xdr:colOff>
      <xdr:row>1</xdr:row>
      <xdr:rowOff>120240</xdr:rowOff>
    </xdr:to>
    <xdr:sp macro="" textlink="">
      <xdr:nvSpPr>
        <xdr:cNvPr id="14" name="Forma 2">
          <a:extLst>
            <a:ext uri="{FF2B5EF4-FFF2-40B4-BE49-F238E27FC236}">
              <a16:creationId xmlns:a16="http://schemas.microsoft.com/office/drawing/2014/main" id="{00000000-0008-0000-0100-00000E000000}"/>
            </a:ext>
          </a:extLst>
        </xdr:cNvPr>
        <xdr:cNvSpPr/>
      </xdr:nvSpPr>
      <xdr:spPr>
        <a:xfrm flipH="1">
          <a:off x="563370" y="0"/>
          <a:ext cx="141840" cy="374240"/>
        </a:xfrm>
        <a:prstGeom prst="upArrow">
          <a:avLst>
            <a:gd name="adj1" fmla="val 50000"/>
            <a:gd name="adj2" fmla="val 65292"/>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sp>
    <xdr:clientData/>
  </xdr:twoCellAnchor>
  <xdr:twoCellAnchor editAs="absolute">
    <xdr:from>
      <xdr:col>11</xdr:col>
      <xdr:colOff>390240</xdr:colOff>
      <xdr:row>0</xdr:row>
      <xdr:rowOff>58320</xdr:rowOff>
    </xdr:from>
    <xdr:to>
      <xdr:col>11</xdr:col>
      <xdr:colOff>1170360</xdr:colOff>
      <xdr:row>2</xdr:row>
      <xdr:rowOff>39600</xdr:rowOff>
    </xdr:to>
    <xdr:sp macro="" textlink="">
      <xdr:nvSpPr>
        <xdr:cNvPr id="15" name="Voltar">
          <a:hlinkClick xmlns:r="http://schemas.openxmlformats.org/officeDocument/2006/relationships" r:id="rId1"/>
          <a:extLst>
            <a:ext uri="{FF2B5EF4-FFF2-40B4-BE49-F238E27FC236}">
              <a16:creationId xmlns:a16="http://schemas.microsoft.com/office/drawing/2014/main" id="{00000000-0008-0000-0100-00000F000000}"/>
            </a:ext>
          </a:extLst>
        </xdr:cNvPr>
        <xdr:cNvSpPr/>
      </xdr:nvSpPr>
      <xdr:spPr>
        <a:xfrm>
          <a:off x="10622160" y="58320"/>
          <a:ext cx="780120" cy="46008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Voltar</a:t>
          </a:r>
        </a:p>
      </xdr:txBody>
    </xdr:sp>
    <xdr:clientData/>
  </xdr:twoCellAnchor>
  <xdr:twoCellAnchor editAs="absolute">
    <xdr:from>
      <xdr:col>9</xdr:col>
      <xdr:colOff>413640</xdr:colOff>
      <xdr:row>3</xdr:row>
      <xdr:rowOff>124920</xdr:rowOff>
    </xdr:from>
    <xdr:to>
      <xdr:col>10</xdr:col>
      <xdr:colOff>792360</xdr:colOff>
      <xdr:row>5</xdr:row>
      <xdr:rowOff>166320</xdr:rowOff>
    </xdr:to>
    <xdr:sp macro="" textlink="">
      <xdr:nvSpPr>
        <xdr:cNvPr id="16" name="Quadro de texto 1">
          <a:extLst>
            <a:ext uri="{FF2B5EF4-FFF2-40B4-BE49-F238E27FC236}">
              <a16:creationId xmlns:a16="http://schemas.microsoft.com/office/drawing/2014/main" id="{00000000-0008-0000-0100-000010000000}"/>
            </a:ext>
          </a:extLst>
        </xdr:cNvPr>
        <xdr:cNvSpPr txBox="1"/>
      </xdr:nvSpPr>
      <xdr:spPr>
        <a:xfrm>
          <a:off x="8644680" y="883800"/>
          <a:ext cx="1167120" cy="426960"/>
        </a:xfrm>
        <a:prstGeom prst="rect">
          <a:avLst/>
        </a:prstGeom>
        <a:noFill/>
        <a:ln w="0">
          <a:noFill/>
        </a:ln>
      </xdr:spPr>
      <xdr:txBody>
        <a:bodyPr lIns="0" tIns="0" rIns="0" bIns="0" anchor="t">
          <a:noAutofit/>
        </a:bodyPr>
        <a:lstStyle/>
        <a:p>
          <a:pPr algn="ctr"/>
          <a:r>
            <a:rPr lang="pt-BR" sz="1000" b="1" u="none" strike="noStrike">
              <a:solidFill>
                <a:srgbClr val="FF0000"/>
              </a:solidFill>
              <a:effectLst/>
              <a:uFillTx/>
              <a:latin typeface="Arial"/>
              <a:ea typeface="Microsoft YaHei"/>
            </a:rPr>
            <a:t>Os campos com *, são campos editáveis.</a:t>
          </a:r>
          <a:endParaRPr lang="pt-BR" sz="1000" b="0" u="none" strike="noStrike">
            <a:effectLst/>
            <a:uFillTx/>
            <a:latin typeface="Times New Roman"/>
          </a:endParaRPr>
        </a:p>
      </xdr:txBody>
    </xdr:sp>
    <xdr:clientData/>
  </xdr:twoCellAnchor>
  <xdr:twoCellAnchor editAs="absolute">
    <xdr:from>
      <xdr:col>5</xdr:col>
      <xdr:colOff>641350</xdr:colOff>
      <xdr:row>9</xdr:row>
      <xdr:rowOff>32500</xdr:rowOff>
    </xdr:from>
    <xdr:to>
      <xdr:col>7</xdr:col>
      <xdr:colOff>57150</xdr:colOff>
      <xdr:row>11</xdr:row>
      <xdr:rowOff>44940</xdr:rowOff>
    </xdr:to>
    <xdr:sp macro="" textlink="">
      <xdr:nvSpPr>
        <xdr:cNvPr id="17" name="Quadro de texto 2">
          <a:extLst>
            <a:ext uri="{FF2B5EF4-FFF2-40B4-BE49-F238E27FC236}">
              <a16:creationId xmlns:a16="http://schemas.microsoft.com/office/drawing/2014/main" id="{00000000-0008-0000-0100-000011000000}"/>
            </a:ext>
          </a:extLst>
        </xdr:cNvPr>
        <xdr:cNvSpPr txBox="1"/>
      </xdr:nvSpPr>
      <xdr:spPr>
        <a:xfrm>
          <a:off x="5689600" y="2248650"/>
          <a:ext cx="952500" cy="342640"/>
        </a:xfrm>
        <a:prstGeom prst="rect">
          <a:avLst/>
        </a:prstGeom>
        <a:noFill/>
        <a:ln w="0">
          <a:noFill/>
        </a:ln>
      </xdr:spPr>
      <xdr:txBody>
        <a:bodyPr lIns="0" tIns="0" rIns="0" bIns="0" anchor="t">
          <a:noAutofit/>
        </a:bodyPr>
        <a:lstStyle/>
        <a:p>
          <a:r>
            <a:rPr lang="pt-BR" sz="1200" b="1" u="none" strike="noStrike">
              <a:solidFill>
                <a:schemeClr val="accent2"/>
              </a:solidFill>
              <a:effectLst/>
              <a:uFillTx/>
              <a:latin typeface="Times New Roman"/>
            </a:rPr>
            <a:t>Total de dias:</a:t>
          </a:r>
        </a:p>
      </xdr:txBody>
    </xdr:sp>
    <xdr:clientData/>
  </xdr:twoCellAnchor>
  <xdr:twoCellAnchor>
    <xdr:from>
      <xdr:col>11</xdr:col>
      <xdr:colOff>12960</xdr:colOff>
      <xdr:row>14</xdr:row>
      <xdr:rowOff>149400</xdr:rowOff>
    </xdr:from>
    <xdr:to>
      <xdr:col>11</xdr:col>
      <xdr:colOff>1257480</xdr:colOff>
      <xdr:row>17</xdr:row>
      <xdr:rowOff>77760</xdr:rowOff>
    </xdr:to>
    <xdr:sp macro="" textlink="">
      <xdr:nvSpPr>
        <xdr:cNvPr id="18" name="Quadro de texto 4">
          <a:extLst>
            <a:ext uri="{FF2B5EF4-FFF2-40B4-BE49-F238E27FC236}">
              <a16:creationId xmlns:a16="http://schemas.microsoft.com/office/drawing/2014/main" id="{00000000-0008-0000-0100-000012000000}"/>
            </a:ext>
          </a:extLst>
        </xdr:cNvPr>
        <xdr:cNvSpPr txBox="1"/>
      </xdr:nvSpPr>
      <xdr:spPr>
        <a:xfrm>
          <a:off x="10244880" y="2905920"/>
          <a:ext cx="1244520" cy="416160"/>
        </a:xfrm>
        <a:prstGeom prst="rect">
          <a:avLst/>
        </a:prstGeom>
        <a:noFill/>
        <a:ln w="0">
          <a:noFill/>
        </a:ln>
      </xdr:spPr>
      <xdr:txBody>
        <a:bodyPr lIns="0" tIns="0" rIns="0" bIns="0" anchor="t">
          <a:noAutofit/>
        </a:bodyPr>
        <a:lstStyle/>
        <a:p>
          <a:r>
            <a:rPr lang="pt-BR" sz="1200" b="0" u="none" strike="noStrike">
              <a:solidFill>
                <a:srgbClr val="0070C0"/>
              </a:solidFill>
              <a:effectLst/>
              <a:uFillTx/>
              <a:latin typeface="Times New Roman"/>
            </a:rPr>
            <a:t>Planilha de Cálculo Licenciada para:</a:t>
          </a:r>
        </a:p>
      </xdr:txBody>
    </xdr:sp>
    <xdr:clientData/>
  </xdr:twoCellAnchor>
  <xdr:twoCellAnchor editAs="absolute">
    <xdr:from>
      <xdr:col>11</xdr:col>
      <xdr:colOff>455420</xdr:colOff>
      <xdr:row>16</xdr:row>
      <xdr:rowOff>0</xdr:rowOff>
    </xdr:from>
    <xdr:to>
      <xdr:col>11</xdr:col>
      <xdr:colOff>597260</xdr:colOff>
      <xdr:row>18</xdr:row>
      <xdr:rowOff>44040</xdr:rowOff>
    </xdr:to>
    <xdr:sp macro="" textlink="">
      <xdr:nvSpPr>
        <xdr:cNvPr id="8" name="Forma 2">
          <a:extLst>
            <a:ext uri="{FF2B5EF4-FFF2-40B4-BE49-F238E27FC236}">
              <a16:creationId xmlns:a16="http://schemas.microsoft.com/office/drawing/2014/main" id="{00000000-0008-0000-0100-000008000000}"/>
            </a:ext>
          </a:extLst>
        </xdr:cNvPr>
        <xdr:cNvSpPr/>
      </xdr:nvSpPr>
      <xdr:spPr>
        <a:xfrm rot="10800000" flipH="1">
          <a:off x="10583670" y="3371850"/>
          <a:ext cx="141840" cy="374240"/>
        </a:xfrm>
        <a:prstGeom prst="upArrow">
          <a:avLst>
            <a:gd name="adj1" fmla="val 50000"/>
            <a:gd name="adj2" fmla="val 65292"/>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483120</xdr:colOff>
      <xdr:row>4</xdr:row>
      <xdr:rowOff>119520</xdr:rowOff>
    </xdr:from>
    <xdr:to>
      <xdr:col>1</xdr:col>
      <xdr:colOff>487440</xdr:colOff>
      <xdr:row>6</xdr:row>
      <xdr:rowOff>55080</xdr:rowOff>
    </xdr:to>
    <xdr:sp macro="" textlink="">
      <xdr:nvSpPr>
        <xdr:cNvPr id="19" name="Linha 1">
          <a:extLst>
            <a:ext uri="{FF2B5EF4-FFF2-40B4-BE49-F238E27FC236}">
              <a16:creationId xmlns:a16="http://schemas.microsoft.com/office/drawing/2014/main" id="{00000000-0008-0000-0200-000013000000}"/>
            </a:ext>
          </a:extLst>
        </xdr:cNvPr>
        <xdr:cNvSpPr/>
      </xdr:nvSpPr>
      <xdr:spPr>
        <a:xfrm>
          <a:off x="1747440" y="981360"/>
          <a:ext cx="4320" cy="318240"/>
        </a:xfrm>
        <a:prstGeom prst="line">
          <a:avLst/>
        </a:prstGeom>
        <a:ln w="0">
          <a:solidFill>
            <a:srgbClr val="FFBF00"/>
          </a:solidFill>
        </a:ln>
      </xdr:spPr>
      <xdr:style>
        <a:lnRef idx="0">
          <a:scrgbClr r="0" g="0" b="0"/>
        </a:lnRef>
        <a:fillRef idx="0">
          <a:scrgbClr r="0" g="0" b="0"/>
        </a:fillRef>
        <a:effectRef idx="0">
          <a:scrgbClr r="0" g="0" b="0"/>
        </a:effectRef>
        <a:fontRef idx="minor"/>
      </xdr:style>
    </xdr:sp>
    <xdr:clientData/>
  </xdr:twoCellAnchor>
  <xdr:twoCellAnchor editAs="absolute">
    <xdr:from>
      <xdr:col>1</xdr:col>
      <xdr:colOff>534960</xdr:colOff>
      <xdr:row>6</xdr:row>
      <xdr:rowOff>127440</xdr:rowOff>
    </xdr:from>
    <xdr:to>
      <xdr:col>2</xdr:col>
      <xdr:colOff>11160</xdr:colOff>
      <xdr:row>7</xdr:row>
      <xdr:rowOff>140400</xdr:rowOff>
    </xdr:to>
    <xdr:sp macro="" textlink="">
      <xdr:nvSpPr>
        <xdr:cNvPr id="20" name="Linha 2">
          <a:extLst>
            <a:ext uri="{FF2B5EF4-FFF2-40B4-BE49-F238E27FC236}">
              <a16:creationId xmlns:a16="http://schemas.microsoft.com/office/drawing/2014/main" id="{00000000-0008-0000-0200-000014000000}"/>
            </a:ext>
          </a:extLst>
        </xdr:cNvPr>
        <xdr:cNvSpPr/>
      </xdr:nvSpPr>
      <xdr:spPr>
        <a:xfrm>
          <a:off x="1799280" y="1371960"/>
          <a:ext cx="624960" cy="188280"/>
        </a:xfrm>
        <a:prstGeom prst="line">
          <a:avLst/>
        </a:prstGeom>
        <a:ln w="0">
          <a:solidFill>
            <a:srgbClr val="FFBF00"/>
          </a:solidFill>
        </a:ln>
      </xdr:spPr>
      <xdr:style>
        <a:lnRef idx="0">
          <a:scrgbClr r="0" g="0" b="0"/>
        </a:lnRef>
        <a:fillRef idx="0">
          <a:scrgbClr r="0" g="0" b="0"/>
        </a:fillRef>
        <a:effectRef idx="0">
          <a:scrgbClr r="0" g="0" b="0"/>
        </a:effectRef>
        <a:fontRef idx="minor"/>
      </xdr:style>
    </xdr:sp>
    <xdr:clientData/>
  </xdr:twoCellAnchor>
  <xdr:twoCellAnchor editAs="absolute">
    <xdr:from>
      <xdr:col>1</xdr:col>
      <xdr:colOff>1091880</xdr:colOff>
      <xdr:row>7</xdr:row>
      <xdr:rowOff>29880</xdr:rowOff>
    </xdr:from>
    <xdr:to>
      <xdr:col>2</xdr:col>
      <xdr:colOff>14040</xdr:colOff>
      <xdr:row>7</xdr:row>
      <xdr:rowOff>140400</xdr:rowOff>
    </xdr:to>
    <xdr:sp macro="" textlink="">
      <xdr:nvSpPr>
        <xdr:cNvPr id="21" name="Linha 3">
          <a:extLst>
            <a:ext uri="{FF2B5EF4-FFF2-40B4-BE49-F238E27FC236}">
              <a16:creationId xmlns:a16="http://schemas.microsoft.com/office/drawing/2014/main" id="{00000000-0008-0000-0200-000015000000}"/>
            </a:ext>
          </a:extLst>
        </xdr:cNvPr>
        <xdr:cNvSpPr/>
      </xdr:nvSpPr>
      <xdr:spPr>
        <a:xfrm flipH="1" flipV="1">
          <a:off x="2356200" y="1449720"/>
          <a:ext cx="70920" cy="110520"/>
        </a:xfrm>
        <a:prstGeom prst="line">
          <a:avLst/>
        </a:prstGeom>
        <a:ln w="0">
          <a:solidFill>
            <a:srgbClr val="FFBF00"/>
          </a:solidFill>
        </a:ln>
      </xdr:spPr>
      <xdr:style>
        <a:lnRef idx="0">
          <a:scrgbClr r="0" g="0" b="0"/>
        </a:lnRef>
        <a:fillRef idx="0">
          <a:scrgbClr r="0" g="0" b="0"/>
        </a:fillRef>
        <a:effectRef idx="0">
          <a:scrgbClr r="0" g="0" b="0"/>
        </a:effectRef>
        <a:fontRef idx="minor"/>
      </xdr:style>
    </xdr:sp>
    <xdr:clientData/>
  </xdr:twoCellAnchor>
  <xdr:twoCellAnchor editAs="absolute">
    <xdr:from>
      <xdr:col>1</xdr:col>
      <xdr:colOff>1053000</xdr:colOff>
      <xdr:row>7</xdr:row>
      <xdr:rowOff>146880</xdr:rowOff>
    </xdr:from>
    <xdr:to>
      <xdr:col>2</xdr:col>
      <xdr:colOff>7560</xdr:colOff>
      <xdr:row>8</xdr:row>
      <xdr:rowOff>29520</xdr:rowOff>
    </xdr:to>
    <xdr:sp macro="" textlink="">
      <xdr:nvSpPr>
        <xdr:cNvPr id="22" name="Linha 4">
          <a:extLst>
            <a:ext uri="{FF2B5EF4-FFF2-40B4-BE49-F238E27FC236}">
              <a16:creationId xmlns:a16="http://schemas.microsoft.com/office/drawing/2014/main" id="{00000000-0008-0000-0200-000016000000}"/>
            </a:ext>
          </a:extLst>
        </xdr:cNvPr>
        <xdr:cNvSpPr/>
      </xdr:nvSpPr>
      <xdr:spPr>
        <a:xfrm flipH="1">
          <a:off x="2317320" y="1566720"/>
          <a:ext cx="103320" cy="45360"/>
        </a:xfrm>
        <a:prstGeom prst="line">
          <a:avLst/>
        </a:prstGeom>
        <a:ln w="0">
          <a:solidFill>
            <a:srgbClr val="FFBF00"/>
          </a:solidFill>
        </a:ln>
      </xdr:spPr>
      <xdr:style>
        <a:lnRef idx="0">
          <a:scrgbClr r="0" g="0" b="0"/>
        </a:lnRef>
        <a:fillRef idx="0">
          <a:scrgbClr r="0" g="0" b="0"/>
        </a:fillRef>
        <a:effectRef idx="0">
          <a:scrgbClr r="0" g="0" b="0"/>
        </a:effectRef>
        <a:fontRef idx="minor"/>
      </xdr:style>
    </xdr:sp>
    <xdr:clientData/>
  </xdr:twoCellAnchor>
  <xdr:twoCellAnchor editAs="absolute">
    <xdr:from>
      <xdr:col>12</xdr:col>
      <xdr:colOff>441000</xdr:colOff>
      <xdr:row>0</xdr:row>
      <xdr:rowOff>36000</xdr:rowOff>
    </xdr:from>
    <xdr:to>
      <xdr:col>13</xdr:col>
      <xdr:colOff>414720</xdr:colOff>
      <xdr:row>2</xdr:row>
      <xdr:rowOff>161280</xdr:rowOff>
    </xdr:to>
    <xdr:sp macro="" textlink="">
      <xdr:nvSpPr>
        <xdr:cNvPr id="23" name="Forma 5">
          <a:hlinkClick xmlns:r="http://schemas.openxmlformats.org/officeDocument/2006/relationships" r:id="rId1"/>
          <a:extLst>
            <a:ext uri="{FF2B5EF4-FFF2-40B4-BE49-F238E27FC236}">
              <a16:creationId xmlns:a16="http://schemas.microsoft.com/office/drawing/2014/main" id="{00000000-0008-0000-0200-000017000000}"/>
            </a:ext>
          </a:extLst>
        </xdr:cNvPr>
        <xdr:cNvSpPr/>
      </xdr:nvSpPr>
      <xdr:spPr>
        <a:xfrm>
          <a:off x="10632240" y="36000"/>
          <a:ext cx="786240" cy="50616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27</xdr:row>
      <xdr:rowOff>119160</xdr:rowOff>
    </xdr:from>
    <xdr:to>
      <xdr:col>0</xdr:col>
      <xdr:colOff>304560</xdr:colOff>
      <xdr:row>29</xdr:row>
      <xdr:rowOff>93600</xdr:rowOff>
    </xdr:to>
    <xdr:pic>
      <xdr:nvPicPr>
        <xdr:cNvPr id="24" name="https://www.bing.com/th?id=ODF.x8OJns6O9YdgRNr2ORbOoA">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1"/>
        <a:stretch/>
      </xdr:blipFill>
      <xdr:spPr>
        <a:xfrm>
          <a:off x="0" y="5405040"/>
          <a:ext cx="304560" cy="304560"/>
        </a:xfrm>
        <a:prstGeom prst="rect">
          <a:avLst/>
        </a:prstGeom>
        <a:noFill/>
        <a:ln w="0">
          <a:noFill/>
        </a:ln>
      </xdr:spPr>
    </xdr:pic>
    <xdr:clientData/>
  </xdr:twoCellAnchor>
  <xdr:twoCellAnchor editAs="absolute">
    <xdr:from>
      <xdr:col>0</xdr:col>
      <xdr:colOff>10730160</xdr:colOff>
      <xdr:row>27</xdr:row>
      <xdr:rowOff>115560</xdr:rowOff>
    </xdr:from>
    <xdr:to>
      <xdr:col>0</xdr:col>
      <xdr:colOff>11034720</xdr:colOff>
      <xdr:row>29</xdr:row>
      <xdr:rowOff>90000</xdr:rowOff>
    </xdr:to>
    <xdr:pic>
      <xdr:nvPicPr>
        <xdr:cNvPr id="25" name="https://www.bing.com/th?id=ODF.x8OJns6O9YdgRNr2ORbOoA">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1"/>
        <a:stretch/>
      </xdr:blipFill>
      <xdr:spPr>
        <a:xfrm>
          <a:off x="10730160" y="5401440"/>
          <a:ext cx="304560" cy="304560"/>
        </a:xfrm>
        <a:prstGeom prst="rect">
          <a:avLst/>
        </a:prstGeom>
        <a:noFill/>
        <a:ln w="0">
          <a:noFill/>
        </a:ln>
      </xdr:spPr>
    </xdr:pic>
    <xdr:clientData/>
  </xdr:twoCellAnchor>
  <xdr:twoCellAnchor editAs="oneCell">
    <xdr:from>
      <xdr:col>0</xdr:col>
      <xdr:colOff>6480</xdr:colOff>
      <xdr:row>50</xdr:row>
      <xdr:rowOff>156600</xdr:rowOff>
    </xdr:from>
    <xdr:to>
      <xdr:col>0</xdr:col>
      <xdr:colOff>311040</xdr:colOff>
      <xdr:row>52</xdr:row>
      <xdr:rowOff>136080</xdr:rowOff>
    </xdr:to>
    <xdr:pic>
      <xdr:nvPicPr>
        <xdr:cNvPr id="26" name="https://www.bing.com/th?id=ODF.x8OJns6O9YdgRNr2ORbOoA 1">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1"/>
        <a:stretch/>
      </xdr:blipFill>
      <xdr:spPr>
        <a:xfrm>
          <a:off x="6480" y="9279000"/>
          <a:ext cx="304560" cy="304560"/>
        </a:xfrm>
        <a:prstGeom prst="rect">
          <a:avLst/>
        </a:prstGeom>
        <a:noFill/>
        <a:ln w="0">
          <a:noFill/>
        </a:ln>
      </xdr:spPr>
    </xdr:pic>
    <xdr:clientData/>
  </xdr:twoCellAnchor>
  <xdr:twoCellAnchor editAs="oneCell">
    <xdr:from>
      <xdr:col>0</xdr:col>
      <xdr:colOff>10736640</xdr:colOff>
      <xdr:row>51</xdr:row>
      <xdr:rowOff>3240</xdr:rowOff>
    </xdr:from>
    <xdr:to>
      <xdr:col>0</xdr:col>
      <xdr:colOff>11041200</xdr:colOff>
      <xdr:row>52</xdr:row>
      <xdr:rowOff>145440</xdr:rowOff>
    </xdr:to>
    <xdr:pic>
      <xdr:nvPicPr>
        <xdr:cNvPr id="27" name="https://www.bing.com/th?id=ODF.x8OJns6O9YdgRNr2ORbOoA 2">
          <a:extLst>
            <a:ext uri="{FF2B5EF4-FFF2-40B4-BE49-F238E27FC236}">
              <a16:creationId xmlns:a16="http://schemas.microsoft.com/office/drawing/2014/main" id="{00000000-0008-0000-0300-00001B000000}"/>
            </a:ext>
          </a:extLst>
        </xdr:cNvPr>
        <xdr:cNvPicPr/>
      </xdr:nvPicPr>
      <xdr:blipFill>
        <a:blip xmlns:r="http://schemas.openxmlformats.org/officeDocument/2006/relationships" r:embed="rId1"/>
        <a:stretch/>
      </xdr:blipFill>
      <xdr:spPr>
        <a:xfrm>
          <a:off x="10736640" y="9288360"/>
          <a:ext cx="304560" cy="304560"/>
        </a:xfrm>
        <a:prstGeom prst="rect">
          <a:avLst/>
        </a:prstGeom>
        <a:noFill/>
        <a:ln w="0">
          <a:noFill/>
        </a:ln>
      </xdr:spPr>
    </xdr:pic>
    <xdr:clientData/>
  </xdr:twoCellAnchor>
  <xdr:twoCellAnchor editAs="absolute">
    <xdr:from>
      <xdr:col>0</xdr:col>
      <xdr:colOff>90360</xdr:colOff>
      <xdr:row>63</xdr:row>
      <xdr:rowOff>27720</xdr:rowOff>
    </xdr:from>
    <xdr:to>
      <xdr:col>0</xdr:col>
      <xdr:colOff>394920</xdr:colOff>
      <xdr:row>64</xdr:row>
      <xdr:rowOff>141840</xdr:rowOff>
    </xdr:to>
    <xdr:pic>
      <xdr:nvPicPr>
        <xdr:cNvPr id="28" name="https://www.bing.com/th?id=ODF.x8OJns6O9YdgRNr2ORbOoA">
          <a:extLst>
            <a:ext uri="{FF2B5EF4-FFF2-40B4-BE49-F238E27FC236}">
              <a16:creationId xmlns:a16="http://schemas.microsoft.com/office/drawing/2014/main" id="{00000000-0008-0000-0300-00001C000000}"/>
            </a:ext>
          </a:extLst>
        </xdr:cNvPr>
        <xdr:cNvPicPr/>
      </xdr:nvPicPr>
      <xdr:blipFill>
        <a:blip xmlns:r="http://schemas.openxmlformats.org/officeDocument/2006/relationships" r:embed="rId1"/>
        <a:stretch/>
      </xdr:blipFill>
      <xdr:spPr>
        <a:xfrm>
          <a:off x="90360" y="12797640"/>
          <a:ext cx="304560" cy="304560"/>
        </a:xfrm>
        <a:prstGeom prst="rect">
          <a:avLst/>
        </a:prstGeom>
        <a:noFill/>
        <a:ln w="0">
          <a:noFill/>
        </a:ln>
      </xdr:spPr>
    </xdr:pic>
    <xdr:clientData/>
  </xdr:twoCellAnchor>
  <xdr:twoCellAnchor editAs="oneCell">
    <xdr:from>
      <xdr:col>0</xdr:col>
      <xdr:colOff>10703880</xdr:colOff>
      <xdr:row>63</xdr:row>
      <xdr:rowOff>16200</xdr:rowOff>
    </xdr:from>
    <xdr:to>
      <xdr:col>0</xdr:col>
      <xdr:colOff>11008440</xdr:colOff>
      <xdr:row>64</xdr:row>
      <xdr:rowOff>130320</xdr:rowOff>
    </xdr:to>
    <xdr:pic>
      <xdr:nvPicPr>
        <xdr:cNvPr id="29" name="https://www.bing.com/th?id=ODF.x8OJns6O9YdgRNr2ORbOoA 3">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1"/>
        <a:stretch/>
      </xdr:blipFill>
      <xdr:spPr>
        <a:xfrm>
          <a:off x="10703880" y="12786120"/>
          <a:ext cx="304560" cy="304560"/>
        </a:xfrm>
        <a:prstGeom prst="rect">
          <a:avLst/>
        </a:prstGeom>
        <a:noFill/>
        <a:ln w="0">
          <a:noFill/>
        </a:ln>
      </xdr:spPr>
    </xdr:pic>
    <xdr:clientData/>
  </xdr:twoCellAnchor>
  <xdr:twoCellAnchor editAs="oneCell">
    <xdr:from>
      <xdr:col>0</xdr:col>
      <xdr:colOff>10630800</xdr:colOff>
      <xdr:row>0</xdr:row>
      <xdr:rowOff>36000</xdr:rowOff>
    </xdr:from>
    <xdr:to>
      <xdr:col>0</xdr:col>
      <xdr:colOff>11417040</xdr:colOff>
      <xdr:row>0</xdr:row>
      <xdr:rowOff>542160</xdr:rowOff>
    </xdr:to>
    <xdr:sp macro="" textlink="">
      <xdr:nvSpPr>
        <xdr:cNvPr id="30" name="Forma 7">
          <a:hlinkClick xmlns:r="http://schemas.openxmlformats.org/officeDocument/2006/relationships" r:id="rId2"/>
          <a:extLst>
            <a:ext uri="{FF2B5EF4-FFF2-40B4-BE49-F238E27FC236}">
              <a16:creationId xmlns:a16="http://schemas.microsoft.com/office/drawing/2014/main" id="{00000000-0008-0000-0300-00001E000000}"/>
            </a:ext>
          </a:extLst>
        </xdr:cNvPr>
        <xdr:cNvSpPr/>
      </xdr:nvSpPr>
      <xdr:spPr>
        <a:xfrm>
          <a:off x="10630800" y="36000"/>
          <a:ext cx="786240" cy="50616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Voltar</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1001" name="Botão de pressão 1" descr="http://www.facebook.com/dialog/share?app_id=87741124305&amp;href=https%3A//youtube.com/watch%3Fv%3D4yoFPip3TaM%26si%3DuAaoR5OA3Ph1mT9k&amp;display=popup" hidden="1">
              <a:extLst>
                <a:ext uri="{63B3BB69-23CF-44E3-9099-C40C66FF867C}">
                  <a14:compatExt spid="_x0000_s1001"/>
                </a:ext>
                <a:ext uri="{FF2B5EF4-FFF2-40B4-BE49-F238E27FC236}">
                  <a16:creationId xmlns:a16="http://schemas.microsoft.com/office/drawing/2014/main" id="{00000000-0008-0000-0300-0000E9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1002" name="Botão de pressão 2" descr="http://www.facebook.com/dialog/share?app_id=87741124305&amp;href=https%3A//youtube.com/watch%3Fv%3D4yoFPip3TaM%26si%3DuAaoR5OA3Ph1mT9k&amp;display=popup" hidden="1">
              <a:extLst>
                <a:ext uri="{63B3BB69-23CF-44E3-9099-C40C66FF867C}">
                  <a14:compatExt spid="_x0000_s1002"/>
                </a:ext>
                <a:ext uri="{FF2B5EF4-FFF2-40B4-BE49-F238E27FC236}">
                  <a16:creationId xmlns:a16="http://schemas.microsoft.com/office/drawing/2014/main" id="{00000000-0008-0000-0300-0000EA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95250</xdr:rowOff>
        </xdr:from>
        <xdr:to>
          <xdr:col>1</xdr:col>
          <xdr:colOff>7029450</xdr:colOff>
          <xdr:row>46</xdr:row>
          <xdr:rowOff>69850</xdr:rowOff>
        </xdr:to>
        <xdr:sp macro="" textlink="">
          <xdr:nvSpPr>
            <xdr:cNvPr id="4098" name="Botão de pressão 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91440" tIns="45720" rIns="91440" bIns="45720" anchor="ctr" upright="1"/>
            <a:lstStyle/>
            <a:p>
              <a:pPr algn="ctr" rtl="0">
                <a:defRPr sz="1000"/>
              </a:pPr>
              <a:r>
                <a:rPr lang="pt-BR" sz="10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95250</xdr:rowOff>
        </xdr:from>
        <xdr:to>
          <xdr:col>1</xdr:col>
          <xdr:colOff>7029450</xdr:colOff>
          <xdr:row>46</xdr:row>
          <xdr:rowOff>69850</xdr:rowOff>
        </xdr:to>
        <xdr:sp macro="" textlink="">
          <xdr:nvSpPr>
            <xdr:cNvPr id="4097" name="Botão de pressão 2"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91440" tIns="45720" rIns="91440" bIns="45720" anchor="ctr" upright="1"/>
            <a:lstStyle/>
            <a:p>
              <a:pPr algn="ctr" rtl="0">
                <a:defRPr sz="1000"/>
              </a:pPr>
              <a:r>
                <a:rPr lang="pt-BR" sz="10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146050</xdr:rowOff>
        </xdr:from>
        <xdr:to>
          <xdr:col>1</xdr:col>
          <xdr:colOff>10547350</xdr:colOff>
          <xdr:row>46</xdr:row>
          <xdr:rowOff>107950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32004" anchor="ctr" upright="1"/>
            <a:lstStyle/>
            <a:p>
              <a:pPr algn="l" rtl="0">
                <a:defRPr sz="1000"/>
              </a:pPr>
              <a:r>
                <a:rPr lang="pt-BR" sz="1100" b="0" i="0" u="none" strike="noStrike" baseline="0">
                  <a:solidFill>
                    <a:srgbClr val="000000"/>
                  </a:solidFill>
                  <a:latin typeface="Arial"/>
                  <a:cs typeface="Arial"/>
                </a:rPr>
                <a:t>http://www.facebook.com/dialog/share?app_id=87741124305&amp;href=https%3A//youtube.com/watch%3Fv%3D4yoFPip3TaM%26si%3DuAaoR5OA3Ph1mT9k&amp;display=popup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10643760</xdr:colOff>
      <xdr:row>0</xdr:row>
      <xdr:rowOff>36000</xdr:rowOff>
    </xdr:from>
    <xdr:to>
      <xdr:col>0</xdr:col>
      <xdr:colOff>11430000</xdr:colOff>
      <xdr:row>0</xdr:row>
      <xdr:rowOff>542160</xdr:rowOff>
    </xdr:to>
    <xdr:sp macro="" textlink="">
      <xdr:nvSpPr>
        <xdr:cNvPr id="31" name="Forma 4">
          <a:hlinkClick xmlns:r="http://schemas.openxmlformats.org/officeDocument/2006/relationships" r:id="rId1"/>
          <a:extLst>
            <a:ext uri="{FF2B5EF4-FFF2-40B4-BE49-F238E27FC236}">
              <a16:creationId xmlns:a16="http://schemas.microsoft.com/office/drawing/2014/main" id="{00000000-0008-0000-0400-00001F000000}"/>
            </a:ext>
          </a:extLst>
        </xdr:cNvPr>
        <xdr:cNvSpPr/>
      </xdr:nvSpPr>
      <xdr:spPr>
        <a:xfrm>
          <a:off x="10643760" y="36000"/>
          <a:ext cx="786240" cy="506160"/>
        </a:xfrm>
        <a:prstGeom prst="rect">
          <a:avLst/>
        </a:prstGeom>
        <a:solidFill>
          <a:srgbClr val="729FCF"/>
        </a:solidFill>
        <a:ln w="0">
          <a:solidFill>
            <a:srgbClr val="3465A4"/>
          </a:solidFill>
        </a:ln>
      </xdr:spPr>
      <xdr:style>
        <a:lnRef idx="0">
          <a:scrgbClr r="0" g="0" b="0"/>
        </a:lnRef>
        <a:fillRef idx="0">
          <a:scrgbClr r="0" g="0" b="0"/>
        </a:fillRef>
        <a:effectRef idx="0">
          <a:scrgbClr r="0" g="0" b="0"/>
        </a:effectRef>
        <a:fontRef idx="minor"/>
      </xdr:style>
      <xdr:txBody>
        <a:bodyPr wrap="none" lIns="0" tIns="0" rIns="0" bIns="0" anchor="ctr">
          <a:noAutofit/>
        </a:bodyPr>
        <a:lstStyle/>
        <a:p>
          <a:pPr algn="ctr"/>
          <a:r>
            <a:rPr lang="pt-BR" sz="1200" b="0" u="none" strike="noStrike">
              <a:effectLst/>
              <a:uFillTx/>
              <a:latin typeface="Times New Roman"/>
            </a:rPr>
            <a:t>Voltar</a:t>
          </a: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bin"/><Relationship Id="rId13" Type="http://schemas.openxmlformats.org/officeDocument/2006/relationships/ctrlProp" Target="../ctrlProps/ctrlProp3.xml"/><Relationship Id="rId18" Type="http://schemas.openxmlformats.org/officeDocument/2006/relationships/ctrlProp" Target="../ctrlProps/ctrlProp8.xml"/><Relationship Id="rId3" Type="http://schemas.openxmlformats.org/officeDocument/2006/relationships/hyperlink" Target="https://www.bing.com/ck/a?!&amp;&amp;p=03fa8f0b1bb681124d64f6e84cebbe1b9401c855e95f81de3e4c75a789a2b094JmltdHM9MTc4Mjk1MDQwMA&amp;ptn=3&amp;ver=2&amp;hsh=4&amp;fclid=233e7111-d288-65e9-29ad-6774d38f6445&amp;psq=CLT+-+hor&#225;rio+de+lanche&amp;u=a1aHR0cHM6Ly93d3cuanVzYnJhc2lsLmNvbS5ici90b3BpY29zLzEwNzU4NzU0L2FydGlnby03MS1kby1kZWNyZXRvLWxlaS1uLTU0NTItZGUtMDEtZGUtbWFpby1kZS0xOTQz&amp;ntb=1" TargetMode="External"/><Relationship Id="rId7" Type="http://schemas.openxmlformats.org/officeDocument/2006/relationships/hyperlink" Target="https://www.bing.com/ck/a?!&amp;&amp;p=b656f59007c4cee579ea9fee7e7a4bf7f5a26dc695147095e58c3bc109c35bbdJmltdHM9MTc4Mjk1MDQwMA&amp;ptn=3&amp;ver=2&amp;hsh=4&amp;fclid=233e7111-d288-65e9-29ad-6774d38f6445&amp;psq=CLT+-+hor&#225;rio+de+lanche&amp;u=a1aHR0cHM6Ly93d3cuZ3VpYXRyYWJhbGhpc3RhLmNvbS5ici9ndWlhL2ludGVydmFsb3NfZGVzY2Fuc28uaHRt&amp;ntb=1" TargetMode="External"/><Relationship Id="rId12" Type="http://schemas.openxmlformats.org/officeDocument/2006/relationships/ctrlProp" Target="../ctrlProps/ctrlProp2.xml"/><Relationship Id="rId17" Type="http://schemas.openxmlformats.org/officeDocument/2006/relationships/ctrlProp" Target="../ctrlProps/ctrlProp7.xml"/><Relationship Id="rId2" Type="http://schemas.openxmlformats.org/officeDocument/2006/relationships/hyperlink" Target="https://www.bing.com/ck/a?!&amp;&amp;p=b75b89a42244f67b478f0824be18899cd9f551abd828cae07c3144be91b274c2JmltdHM9MTc4Mjg2NDAwMA&amp;ptn=3&amp;ver=2&amp;hsh=4&amp;fclid=233e7111-d288-65e9-29ad-6774d38f6445&amp;u=a1aHR0cHM6Ly93d3cuanVzYnJhc2lsLmNvbS5ici90b3BpY29zLzEwNzA5Mzk0L2FydGlnby00ODItZG8tZGVjcmV0by1sZWktbi01NDUyLWRlLTAxLWRlLW1haW8tZGUtMTk0Mz9tc29ja2lkPTIzM2U3MTExZDI4ODY1ZTkyOWFkNjc3NGQzOGY2NDQ1&amp;ntb=1" TargetMode="External"/><Relationship Id="rId16" Type="http://schemas.openxmlformats.org/officeDocument/2006/relationships/ctrlProp" Target="../ctrlProps/ctrlProp6.xml"/><Relationship Id="rId20" Type="http://schemas.openxmlformats.org/officeDocument/2006/relationships/ctrlProp" Target="../ctrlProps/ctrlProp10.xml"/><Relationship Id="rId1" Type="http://schemas.openxmlformats.org/officeDocument/2006/relationships/hyperlink" Target="https://www.bing.com/ck/a?!&amp;&amp;p=e984f6c18968bd2afbd26cb95897373d6042eb4e9037f91eb5fbb5dd3bf24ea5JmltdHM9MTc4Mjg2NDAwMA&amp;ptn=3&amp;ver=2&amp;hsh=4&amp;fclid=233e7111-d288-65e9-29ad-6774d38f6445&amp;psq=uso+indevido+do+vale+transporte+clt&amp;u=a1aHR0cHM6Ly93d3cuanVzYnJhc2lsLmNvbS5ici9hcnRpZ29zL3NvbGljaXRhY2FvLWUtb3UtdXNvLWluZGV2aWRvLWRlLXZhbGUtdHJhbnNwb3J0ZS1qdXN0YS1jYXVzYS82NzQ4ODcxMjM&amp;ntb=1" TargetMode="External"/><Relationship Id="rId6" Type="http://schemas.openxmlformats.org/officeDocument/2006/relationships/hyperlink" Target="https://www.bing.com/ck/a?!&amp;&amp;p=0cdcd66da06dbcfb6f4801b3b4428a386baa20ba26dedeb501c417aa47ea4716JmltdHM9MTc4Mjk1MDQwMA&amp;ptn=3&amp;ver=2&amp;hsh=4&amp;fclid=233e7111-d288-65e9-29ad-6774d38f6445&amp;psq=CLT+-+hor&#225;rio+de+lanche&amp;u=a1aHR0cHM6Ly9kaXJlaXRvZG9lbXByZWdhZG8uY29tL2VtcHJlc2EtZS1vYnJpZ2FkYS1kYXItaW50ZXJ2YWxvLXBhcmEtby1sYW5jaGUv&amp;ntb=1" TargetMode="External"/><Relationship Id="rId11" Type="http://schemas.openxmlformats.org/officeDocument/2006/relationships/ctrlProp" Target="../ctrlProps/ctrlProp1.xml"/><Relationship Id="rId5" Type="http://schemas.openxmlformats.org/officeDocument/2006/relationships/hyperlink" Target="https://www.bing.com/ck/a?!&amp;&amp;p=799e75ae2479f5795e0423b730f71f957b5f341dd973d6139a54f146e824f9e0JmltdHM9MTc4Mjk1MDQwMA&amp;ptn=3&amp;ver=2&amp;hsh=4&amp;fclid=233e7111-d288-65e9-29ad-6774d38f6445&amp;psq=CLT+-+hor&#225;rio+de+lanche&amp;u=a1aHR0cHM6Ly9nZW55by5jb20uYnIvaG9yYXJpby1kZS1hbG1vY28tY2x0Lw&amp;ntb=1" TargetMode="External"/><Relationship Id="rId15" Type="http://schemas.openxmlformats.org/officeDocument/2006/relationships/ctrlProp" Target="../ctrlProps/ctrlProp5.xml"/><Relationship Id="rId10" Type="http://schemas.openxmlformats.org/officeDocument/2006/relationships/vmlDrawing" Target="../drawings/vmlDrawing3.vml"/><Relationship Id="rId19" Type="http://schemas.openxmlformats.org/officeDocument/2006/relationships/ctrlProp" Target="../ctrlProps/ctrlProp9.xml"/><Relationship Id="rId4" Type="http://schemas.openxmlformats.org/officeDocument/2006/relationships/hyperlink" Target="https://www.bing.com/ck/a?!&amp;&amp;p=0cdcd66da06dbcfb6f4801b3b4428a386baa20ba26dedeb501c417aa47ea4716JmltdHM9MTc4Mjk1MDQwMA&amp;ptn=3&amp;ver=2&amp;hsh=4&amp;fclid=233e7111-d288-65e9-29ad-6774d38f6445&amp;psq=CLT+-+hor&#225;rio+de+lanche&amp;u=a1aHR0cHM6Ly9kaXJlaXRvZG9lbXByZWdhZG8uY29tL2VtcHJlc2EtZS1vYnJpZ2FkYS1kYXItaW50ZXJ2YWxvLXBhcmEtby1sYW5jaGUv&amp;ntb=1" TargetMode="External"/><Relationship Id="rId9" Type="http://schemas.openxmlformats.org/officeDocument/2006/relationships/drawing" Target="../drawings/drawing4.xml"/><Relationship Id="rId1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bing.com/ck/a?!&amp;&amp;p=2c2bfae53fa74f106861e276a63ae173be738ec9a76d06e791debd429cd1bb55JmltdHM9MTc4MzAzNjgwMA&amp;ptn=3&amp;ver=2&amp;hsh=4&amp;fclid=233e7111-d288-65e9-29ad-6774d38f6445&amp;psq=o+que+&#233;+ato+de+improbidade+clt&amp;u=a1aHR0cHM6Ly9zb2xpZGVzLmNvbS5ici9ibG9nL2F0by1kZS1pbXByb2JpZGFkZS8&amp;ntb=1" TargetMode="External"/><Relationship Id="rId13" Type="http://schemas.openxmlformats.org/officeDocument/2006/relationships/drawing" Target="../drawings/drawing5.xml"/><Relationship Id="rId3" Type="http://schemas.openxmlformats.org/officeDocument/2006/relationships/hyperlink" Target="https://www.bing.com/ck/a?!&amp;&amp;p=2c2bfae53fa74f106861e276a63ae173be738ec9a76d06e791debd429cd1bb55JmltdHM9MTc4MzAzNjgwMA&amp;ptn=3&amp;ver=2&amp;hsh=4&amp;fclid=233e7111-d288-65e9-29ad-6774d38f6445&amp;psq=o+que+&#233;+ato+de+improbidade+clt&amp;u=a1aHR0cHM6Ly9zb2xpZGVzLmNvbS5ici9ibG9nL2F0by1kZS1pbXByb2JpZGFkZS8&amp;ntb=1" TargetMode="External"/><Relationship Id="rId7" Type="http://schemas.openxmlformats.org/officeDocument/2006/relationships/hyperlink" Target="https://www.bing.com/ck/a?!&amp;&amp;p=44c240afe806c3a9cb9bd86544456376b3d3f8a4a5b0b36acea10a6bd421fc0fJmltdHM9MTc4MzAzNjgwMA&amp;ptn=3&amp;ver=2&amp;hsh=4&amp;fclid=233e7111-d288-65e9-29ad-6774d38f6445&amp;psq=o+que+&#233;+ato+de+improbidade+clt&amp;u=a1aHR0cHM6Ly93d3cuZ2FsdmFvZXNpbHZhLmNvbS9ibG9nL2RpcmVpdG8tYWRtaW5pc3RyYXRpdm8vYXRvLWRlLWltcHJvYmlkYWRlLw&amp;ntb=1" TargetMode="External"/><Relationship Id="rId12" Type="http://schemas.openxmlformats.org/officeDocument/2006/relationships/hyperlink" Target="https://www.bing.com/ck/a?!&amp;&amp;p=d8c127e3b506f8575bec529c5b4abd8a5b7a0bf75343fb0f8d70b188ad7a5703JmltdHM9MTc4MzEyMzIwMA&amp;ptn=3&amp;ver=2&amp;hsh=4&amp;fclid=233e7111-d288-65e9-29ad-6774d38f6445&amp;psq=Des&#237;dia&#160;no&#160;desempenho&#160;das&#160;fun&#231;&#245;es&amp;u=a1aHR0cHM6Ly93d3cuanVzYnJhc2lsLmNvbS5ici9hcnRpZ29zL2Rlc2lkaWEtbm8tZGVzZW1wZW5oby1kYXMtcmVzcGVjdGl2YXMtZnVuY29lcy8zMDg1NTkwOTQ&amp;ntb=1" TargetMode="External"/><Relationship Id="rId2" Type="http://schemas.openxmlformats.org/officeDocument/2006/relationships/hyperlink" Target="https://www.bing.com/ck/a?!&amp;&amp;p=f32f3199bedbf6c72ab82c9b6980ed4bf651b3f801053ca5042dc27fc1abb611JmltdHM9MTc4MzAzNjgwMA&amp;ptn=3&amp;ver=2&amp;hsh=4&amp;fclid=233e7111-d288-65e9-29ad-6774d38f6445&amp;psq=o+que+&#233;+ato+de+improbidade+clt&amp;u=a1aHR0cHM6Ly93d3cucG9udG90ZWwuY29tLmJyL2F0by1kZS1pbXByb2JpZGFkZS1jbHQv&amp;ntb=1" TargetMode="External"/><Relationship Id="rId1" Type="http://schemas.openxmlformats.org/officeDocument/2006/relationships/hyperlink" Target="https://www.bing.com/ck/a?!&amp;&amp;p=f32f3199bedbf6c72ab82c9b6980ed4bf651b3f801053ca5042dc27fc1abb611JmltdHM9MTc4MzAzNjgwMA&amp;ptn=3&amp;ver=2&amp;hsh=4&amp;fclid=233e7111-d288-65e9-29ad-6774d38f6445&amp;psq=o+que+&#233;+ato+de+improbidade+clt&amp;u=a1aHR0cHM6Ly93d3cucG9udG90ZWwuY29tLmJyL2F0by1kZS1pbXByb2JpZGFkZS1jbHQv&amp;ntb=1" TargetMode="External"/><Relationship Id="rId6" Type="http://schemas.openxmlformats.org/officeDocument/2006/relationships/hyperlink" Target="https://www.bing.com/ck/a?!&amp;&amp;p=2c2bfae53fa74f106861e276a63ae173be738ec9a76d06e791debd429cd1bb55JmltdHM9MTc4MzAzNjgwMA&amp;ptn=3&amp;ver=2&amp;hsh=4&amp;fclid=233e7111-d288-65e9-29ad-6774d38f6445&amp;psq=o+que+&#233;+ato+de+improbidade+clt&amp;u=a1aHR0cHM6Ly9zb2xpZGVzLmNvbS5ici9ibG9nL2F0by1kZS1pbXByb2JpZGFkZS8&amp;ntb=1" TargetMode="External"/><Relationship Id="rId11" Type="http://schemas.openxmlformats.org/officeDocument/2006/relationships/hyperlink" Target="https://www.bing.com/ck/a?!&amp;&amp;p=0dd6512a0fc8f03706a1271d57defc6c52cae5dbf87103c60a9967f298c38497JmltdHM9MTc4MzEyMzIwMA&amp;ptn=3&amp;ver=2&amp;hsh=4&amp;fclid=233e7111-d288-65e9-29ad-6774d38f6445&amp;psq=mau+procedimento&amp;u=a1aHR0cHM6Ly9hbWJpdG9qdXJpZGljby5jb20uYnIvaW5jb250aW5lbmNpYS1kZS1jb25kdXRhLWUtbWF1LXByb2NlZGltZW50by1lLWp1c3RhLWNhdXNhLw&amp;ntb=1" TargetMode="External"/><Relationship Id="rId5" Type="http://schemas.openxmlformats.org/officeDocument/2006/relationships/hyperlink" Target="https://www.bing.com/ck/a?!&amp;&amp;p=cbf9b20e0440463ceb661562f8ce0f6622d4f4166f2d91d21346e0837167d8e1JmltdHM9MTc4MzAzNjgwMA&amp;ptn=3&amp;ver=2&amp;hsh=4&amp;fclid=233e7111-d288-65e9-29ad-6774d38f6445&amp;psq=o+que+&#233;+ato+de+improbidade+clt&amp;u=a1aHR0cHM6Ly93d3cuanVzYnJhc2lsLmNvbS5ici90b3BpY29zLzEwNzA5Mzk0L2FydGlnby00ODItZG8tZGVjcmV0by1sZWktbi01NDUyLWRlLTAxLWRlLW1haW8tZGUtMTk0Mw&amp;ntb=1" TargetMode="External"/><Relationship Id="rId10" Type="http://schemas.openxmlformats.org/officeDocument/2006/relationships/hyperlink" Target="https://doutorbuscas.com.br/?utm_source=ambitojuridico-cta" TargetMode="External"/><Relationship Id="rId4" Type="http://schemas.openxmlformats.org/officeDocument/2006/relationships/hyperlink" Target="https://www.bing.com/ck/a?!&amp;&amp;p=44c240afe806c3a9cb9bd86544456376b3d3f8a4a5b0b36acea10a6bd421fc0fJmltdHM9MTc4MzAzNjgwMA&amp;ptn=3&amp;ver=2&amp;hsh=4&amp;fclid=233e7111-d288-65e9-29ad-6774d38f6445&amp;psq=o+que+&#233;+ato+de+improbidade+clt&amp;u=a1aHR0cHM6Ly93d3cuZ2FsdmFvZXNpbHZhLmNvbS9ibG9nL2RpcmVpdG8tYWRtaW5pc3RyYXRpdm8vYXRvLWRlLWltcHJvYmlkYWRlLw&amp;ntb=1" TargetMode="External"/><Relationship Id="rId9" Type="http://schemas.openxmlformats.org/officeDocument/2006/relationships/hyperlink" Target="https://www.bing.com/ck/a?!&amp;&amp;p=f32f3199bedbf6c72ab82c9b6980ed4bf651b3f801053ca5042dc27fc1abb611JmltdHM9MTc4MzAzNjgwMA&amp;ptn=3&amp;ver=2&amp;hsh=4&amp;fclid=233e7111-d288-65e9-29ad-6774d38f6445&amp;psq=o+que+&#233;+ato+de+improbidade+clt&amp;u=a1aHR0cHM6Ly93d3cucG9udG90ZWwuY29tLmJyL2F0by1kZS1pbXByb2JpZGFkZS1jbHQv&amp;ntb=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N24"/>
  <sheetViews>
    <sheetView zoomScaleNormal="100" workbookViewId="0">
      <pane ySplit="2" topLeftCell="A3" activePane="bottomLeft" state="frozen"/>
      <selection pane="bottomLeft" activeCell="A3" sqref="A3:N24"/>
    </sheetView>
  </sheetViews>
  <sheetFormatPr defaultColWidth="11.54296875" defaultRowHeight="12.5" x14ac:dyDescent="0.25"/>
  <cols>
    <col min="1" max="11" width="11.54296875" style="85"/>
    <col min="12" max="12" width="38" style="85" customWidth="1"/>
    <col min="13" max="13" width="11.54296875" style="85"/>
    <col min="14" max="16384" width="11.54296875" style="3"/>
  </cols>
  <sheetData>
    <row r="1" spans="1:14" ht="118.5" customHeight="1" x14ac:dyDescent="0.35">
      <c r="A1" s="82"/>
      <c r="B1" s="82"/>
      <c r="C1" s="83"/>
      <c r="D1" s="82"/>
      <c r="E1" s="82"/>
      <c r="F1" s="82"/>
      <c r="G1" s="82"/>
      <c r="H1" s="82"/>
      <c r="I1" s="82"/>
      <c r="J1" s="82"/>
      <c r="K1" s="82"/>
      <c r="L1" s="107" t="str">
        <f>'VALE TRANSPORTES CÁLCULO'!J2</f>
        <v>SIDIAL FERRAGENS</v>
      </c>
      <c r="M1" s="82"/>
      <c r="N1" s="5"/>
    </row>
    <row r="2" spans="1:14" ht="45.5" customHeight="1" x14ac:dyDescent="0.25">
      <c r="A2" s="84"/>
      <c r="B2" s="84"/>
      <c r="C2" s="84"/>
      <c r="D2" s="84"/>
      <c r="E2" s="84"/>
      <c r="F2" s="84"/>
      <c r="G2" s="84"/>
      <c r="H2" s="84"/>
      <c r="I2" s="84"/>
      <c r="J2" s="84"/>
      <c r="K2" s="84"/>
      <c r="L2" s="84"/>
      <c r="M2" s="84"/>
      <c r="N2" s="6"/>
    </row>
    <row r="3" spans="1:14" x14ac:dyDescent="0.25">
      <c r="A3" s="108" t="e">
        <f>concatenar</f>
        <v>#NAME?</v>
      </c>
      <c r="B3" s="108"/>
      <c r="C3" s="108"/>
      <c r="D3" s="108"/>
      <c r="E3" s="108"/>
      <c r="F3" s="108"/>
      <c r="G3" s="108"/>
      <c r="H3" s="108"/>
      <c r="I3" s="108"/>
      <c r="J3" s="108"/>
      <c r="K3" s="108"/>
      <c r="L3" s="108"/>
      <c r="M3" s="108"/>
      <c r="N3" s="108"/>
    </row>
    <row r="4" spans="1:14" x14ac:dyDescent="0.25">
      <c r="A4" s="108"/>
      <c r="B4" s="108"/>
      <c r="C4" s="108"/>
      <c r="D4" s="108"/>
      <c r="E4" s="108"/>
      <c r="F4" s="108"/>
      <c r="G4" s="108"/>
      <c r="H4" s="108"/>
      <c r="I4" s="108"/>
      <c r="J4" s="108"/>
      <c r="K4" s="108"/>
      <c r="L4" s="108"/>
      <c r="M4" s="108"/>
      <c r="N4" s="108"/>
    </row>
    <row r="5" spans="1:14" x14ac:dyDescent="0.25">
      <c r="A5" s="108"/>
      <c r="B5" s="108"/>
      <c r="C5" s="108"/>
      <c r="D5" s="108"/>
      <c r="E5" s="108"/>
      <c r="F5" s="108"/>
      <c r="G5" s="108"/>
      <c r="H5" s="108"/>
      <c r="I5" s="108"/>
      <c r="J5" s="108"/>
      <c r="K5" s="108"/>
      <c r="L5" s="108"/>
      <c r="M5" s="108"/>
      <c r="N5" s="108"/>
    </row>
    <row r="6" spans="1:14" x14ac:dyDescent="0.25">
      <c r="A6" s="108"/>
      <c r="B6" s="108"/>
      <c r="C6" s="108"/>
      <c r="D6" s="108"/>
      <c r="E6" s="108"/>
      <c r="F6" s="108"/>
      <c r="G6" s="108"/>
      <c r="H6" s="108"/>
      <c r="I6" s="108"/>
      <c r="J6" s="108"/>
      <c r="K6" s="108"/>
      <c r="L6" s="108"/>
      <c r="M6" s="108"/>
      <c r="N6" s="108"/>
    </row>
    <row r="7" spans="1:14" x14ac:dyDescent="0.25">
      <c r="A7" s="108"/>
      <c r="B7" s="108"/>
      <c r="C7" s="108"/>
      <c r="D7" s="108"/>
      <c r="E7" s="108"/>
      <c r="F7" s="108"/>
      <c r="G7" s="108"/>
      <c r="H7" s="108"/>
      <c r="I7" s="108"/>
      <c r="J7" s="108"/>
      <c r="K7" s="108"/>
      <c r="L7" s="108"/>
      <c r="M7" s="108"/>
      <c r="N7" s="108"/>
    </row>
    <row r="8" spans="1:14" x14ac:dyDescent="0.25">
      <c r="A8" s="108"/>
      <c r="B8" s="108"/>
      <c r="C8" s="108"/>
      <c r="D8" s="108"/>
      <c r="E8" s="108"/>
      <c r="F8" s="108"/>
      <c r="G8" s="108"/>
      <c r="H8" s="108"/>
      <c r="I8" s="108"/>
      <c r="J8" s="108"/>
      <c r="K8" s="108"/>
      <c r="L8" s="108"/>
      <c r="M8" s="108"/>
      <c r="N8" s="108"/>
    </row>
    <row r="9" spans="1:14" x14ac:dyDescent="0.25">
      <c r="A9" s="108"/>
      <c r="B9" s="108"/>
      <c r="C9" s="108"/>
      <c r="D9" s="108"/>
      <c r="E9" s="108"/>
      <c r="F9" s="108"/>
      <c r="G9" s="108"/>
      <c r="H9" s="108"/>
      <c r="I9" s="108"/>
      <c r="J9" s="108"/>
      <c r="K9" s="108"/>
      <c r="L9" s="108"/>
      <c r="M9" s="108"/>
      <c r="N9" s="108"/>
    </row>
    <row r="10" spans="1:14" x14ac:dyDescent="0.25">
      <c r="A10" s="108"/>
      <c r="B10" s="108"/>
      <c r="C10" s="108"/>
      <c r="D10" s="108"/>
      <c r="E10" s="108"/>
      <c r="F10" s="108"/>
      <c r="G10" s="108"/>
      <c r="H10" s="108"/>
      <c r="I10" s="108"/>
      <c r="J10" s="108"/>
      <c r="K10" s="108"/>
      <c r="L10" s="108"/>
      <c r="M10" s="108"/>
      <c r="N10" s="108"/>
    </row>
    <row r="11" spans="1:14" x14ac:dyDescent="0.25">
      <c r="A11" s="108"/>
      <c r="B11" s="108"/>
      <c r="C11" s="108"/>
      <c r="D11" s="108"/>
      <c r="E11" s="108"/>
      <c r="F11" s="108"/>
      <c r="G11" s="108"/>
      <c r="H11" s="108"/>
      <c r="I11" s="108"/>
      <c r="J11" s="108"/>
      <c r="K11" s="108"/>
      <c r="L11" s="108"/>
      <c r="M11" s="108"/>
      <c r="N11" s="108"/>
    </row>
    <row r="12" spans="1:14" x14ac:dyDescent="0.25">
      <c r="A12" s="108"/>
      <c r="B12" s="108"/>
      <c r="C12" s="108"/>
      <c r="D12" s="108"/>
      <c r="E12" s="108"/>
      <c r="F12" s="108"/>
      <c r="G12" s="108"/>
      <c r="H12" s="108"/>
      <c r="I12" s="108"/>
      <c r="J12" s="108"/>
      <c r="K12" s="108"/>
      <c r="L12" s="108"/>
      <c r="M12" s="108"/>
      <c r="N12" s="108"/>
    </row>
    <row r="13" spans="1:14" x14ac:dyDescent="0.25">
      <c r="A13" s="108"/>
      <c r="B13" s="108"/>
      <c r="C13" s="108"/>
      <c r="D13" s="108"/>
      <c r="E13" s="108"/>
      <c r="F13" s="108"/>
      <c r="G13" s="108"/>
      <c r="H13" s="108"/>
      <c r="I13" s="108"/>
      <c r="J13" s="108"/>
      <c r="K13" s="108"/>
      <c r="L13" s="108"/>
      <c r="M13" s="108"/>
      <c r="N13" s="108"/>
    </row>
    <row r="14" spans="1:14" x14ac:dyDescent="0.25">
      <c r="A14" s="108"/>
      <c r="B14" s="108"/>
      <c r="C14" s="108"/>
      <c r="D14" s="108"/>
      <c r="E14" s="108"/>
      <c r="F14" s="108"/>
      <c r="G14" s="108"/>
      <c r="H14" s="108"/>
      <c r="I14" s="108"/>
      <c r="J14" s="108"/>
      <c r="K14" s="108"/>
      <c r="L14" s="108"/>
      <c r="M14" s="108"/>
      <c r="N14" s="108"/>
    </row>
    <row r="15" spans="1:14" x14ac:dyDescent="0.25">
      <c r="A15" s="108"/>
      <c r="B15" s="108"/>
      <c r="C15" s="108"/>
      <c r="D15" s="108"/>
      <c r="E15" s="108"/>
      <c r="F15" s="108"/>
      <c r="G15" s="108"/>
      <c r="H15" s="108"/>
      <c r="I15" s="108"/>
      <c r="J15" s="108"/>
      <c r="K15" s="108"/>
      <c r="L15" s="108"/>
      <c r="M15" s="108"/>
      <c r="N15" s="108"/>
    </row>
    <row r="16" spans="1:14" x14ac:dyDescent="0.25">
      <c r="A16" s="108"/>
      <c r="B16" s="108"/>
      <c r="C16" s="108"/>
      <c r="D16" s="108"/>
      <c r="E16" s="108"/>
      <c r="F16" s="108"/>
      <c r="G16" s="108"/>
      <c r="H16" s="108"/>
      <c r="I16" s="108"/>
      <c r="J16" s="108"/>
      <c r="K16" s="108"/>
      <c r="L16" s="108"/>
      <c r="M16" s="108"/>
      <c r="N16" s="108"/>
    </row>
    <row r="17" spans="1:14" x14ac:dyDescent="0.25">
      <c r="A17" s="108"/>
      <c r="B17" s="108"/>
      <c r="C17" s="108"/>
      <c r="D17" s="108"/>
      <c r="E17" s="108"/>
      <c r="F17" s="108"/>
      <c r="G17" s="108"/>
      <c r="H17" s="108"/>
      <c r="I17" s="108"/>
      <c r="J17" s="108"/>
      <c r="K17" s="108"/>
      <c r="L17" s="108"/>
      <c r="M17" s="108"/>
      <c r="N17" s="108"/>
    </row>
    <row r="18" spans="1:14" x14ac:dyDescent="0.25">
      <c r="A18" s="108"/>
      <c r="B18" s="108"/>
      <c r="C18" s="108"/>
      <c r="D18" s="108"/>
      <c r="E18" s="108"/>
      <c r="F18" s="108"/>
      <c r="G18" s="108"/>
      <c r="H18" s="108"/>
      <c r="I18" s="108"/>
      <c r="J18" s="108"/>
      <c r="K18" s="108"/>
      <c r="L18" s="108"/>
      <c r="M18" s="108"/>
      <c r="N18" s="108"/>
    </row>
    <row r="19" spans="1:14" x14ac:dyDescent="0.25">
      <c r="A19" s="108"/>
      <c r="B19" s="108"/>
      <c r="C19" s="108"/>
      <c r="D19" s="108"/>
      <c r="E19" s="108"/>
      <c r="F19" s="108"/>
      <c r="G19" s="108"/>
      <c r="H19" s="108"/>
      <c r="I19" s="108"/>
      <c r="J19" s="108"/>
      <c r="K19" s="108"/>
      <c r="L19" s="108"/>
      <c r="M19" s="108"/>
      <c r="N19" s="108"/>
    </row>
    <row r="20" spans="1:14" x14ac:dyDescent="0.25">
      <c r="A20" s="108"/>
      <c r="B20" s="108"/>
      <c r="C20" s="108"/>
      <c r="D20" s="108"/>
      <c r="E20" s="108"/>
      <c r="F20" s="108"/>
      <c r="G20" s="108"/>
      <c r="H20" s="108"/>
      <c r="I20" s="108"/>
      <c r="J20" s="108"/>
      <c r="K20" s="108"/>
      <c r="L20" s="108"/>
      <c r="M20" s="108"/>
      <c r="N20" s="108"/>
    </row>
    <row r="21" spans="1:14" x14ac:dyDescent="0.25">
      <c r="A21" s="108"/>
      <c r="B21" s="108"/>
      <c r="C21" s="108"/>
      <c r="D21" s="108"/>
      <c r="E21" s="108"/>
      <c r="F21" s="108"/>
      <c r="G21" s="108"/>
      <c r="H21" s="108"/>
      <c r="I21" s="108"/>
      <c r="J21" s="108"/>
      <c r="K21" s="108"/>
      <c r="L21" s="108"/>
      <c r="M21" s="108"/>
      <c r="N21" s="108"/>
    </row>
    <row r="22" spans="1:14" x14ac:dyDescent="0.25">
      <c r="A22" s="108"/>
      <c r="B22" s="108"/>
      <c r="C22" s="108"/>
      <c r="D22" s="108"/>
      <c r="E22" s="108"/>
      <c r="F22" s="108"/>
      <c r="G22" s="108"/>
      <c r="H22" s="108"/>
      <c r="I22" s="108"/>
      <c r="J22" s="108"/>
      <c r="K22" s="108"/>
      <c r="L22" s="108"/>
      <c r="M22" s="108"/>
      <c r="N22" s="108"/>
    </row>
    <row r="23" spans="1:14" x14ac:dyDescent="0.25">
      <c r="A23" s="108"/>
      <c r="B23" s="108"/>
      <c r="C23" s="108"/>
      <c r="D23" s="108"/>
      <c r="E23" s="108"/>
      <c r="F23" s="108"/>
      <c r="G23" s="108"/>
      <c r="H23" s="108"/>
      <c r="I23" s="108"/>
      <c r="J23" s="108"/>
      <c r="K23" s="108"/>
      <c r="L23" s="108"/>
      <c r="M23" s="108"/>
      <c r="N23" s="108"/>
    </row>
    <row r="24" spans="1:14" x14ac:dyDescent="0.25">
      <c r="A24" s="108"/>
      <c r="B24" s="108"/>
      <c r="C24" s="108"/>
      <c r="D24" s="108"/>
      <c r="E24" s="108"/>
      <c r="F24" s="108"/>
      <c r="G24" s="108"/>
      <c r="H24" s="108"/>
      <c r="I24" s="108"/>
      <c r="J24" s="108"/>
      <c r="K24" s="108"/>
      <c r="L24" s="108"/>
      <c r="M24" s="108"/>
      <c r="N24" s="108"/>
    </row>
  </sheetData>
  <mergeCells count="1">
    <mergeCell ref="A3:N24"/>
  </mergeCells>
  <dataValidations count="1">
    <dataValidation type="textLength" operator="equal" allowBlank="1" showErrorMessage="1" sqref="K2:L2" xr:uid="{00000000-0002-0000-0000-000000000000}">
      <formula1>14</formula1>
      <formula2>0</formula2>
    </dataValidation>
  </dataValidations>
  <pageMargins left="0.78749999999999998" right="0.78749999999999998" top="1.0249999999999999" bottom="1.0249999999999999" header="0.78749999999999998" footer="0.78749999999999998"/>
  <pageSetup paperSize="9" orientation="portrait" useFirstPageNumber="1" horizontalDpi="300" verticalDpi="300" r:id="rId1"/>
  <headerFooter>
    <oddHeader>&amp;C&amp;A</oddHeader>
    <oddFooter>&amp;CPágina &amp;P</oddFooter>
  </headerFooter>
  <drawing r:id="rId2"/>
  <legacyDrawing r:id="rId3"/>
  <controls>
    <mc:AlternateContent xmlns:mc="http://schemas.openxmlformats.org/markup-compatibility/2006">
      <mc:Choice Requires="x14">
        <control shapeId="1027" r:id="rId4" name="SalvarSair">
          <controlPr defaultSize="0" autoLine="0" r:id="rId5">
            <anchor moveWithCells="1">
              <from>
                <xdr:col>7</xdr:col>
                <xdr:colOff>184150</xdr:colOff>
                <xdr:row>1</xdr:row>
                <xdr:rowOff>31750</xdr:rowOff>
              </from>
              <to>
                <xdr:col>8</xdr:col>
                <xdr:colOff>774700</xdr:colOff>
                <xdr:row>1</xdr:row>
                <xdr:rowOff>520700</xdr:rowOff>
              </to>
            </anchor>
          </controlPr>
        </control>
      </mc:Choice>
      <mc:Fallback>
        <control shapeId="1027" r:id="rId4" name="SalvarSair"/>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L150"/>
  <sheetViews>
    <sheetView tabSelected="1" zoomScaleNormal="100" workbookViewId="0">
      <pane ySplit="10" topLeftCell="A11" activePane="bottomLeft" state="frozen"/>
      <selection activeCell="B1" sqref="B1"/>
      <selection pane="bottomLeft" activeCell="E21" sqref="E21"/>
    </sheetView>
  </sheetViews>
  <sheetFormatPr defaultColWidth="11.54296875" defaultRowHeight="12.5" x14ac:dyDescent="0.25"/>
  <cols>
    <col min="1" max="1" width="19.36328125" style="7" customWidth="1"/>
    <col min="2" max="2" width="16.6328125" style="7" customWidth="1"/>
    <col min="3" max="3" width="15.08984375" style="7" customWidth="1"/>
    <col min="4" max="4" width="10.81640625" style="7" customWidth="1"/>
    <col min="5" max="5" width="10.36328125" style="2" customWidth="1"/>
    <col min="6" max="6" width="10" style="7" customWidth="1"/>
    <col min="7" max="7" width="12" style="7" customWidth="1"/>
    <col min="8" max="8" width="14.54296875" style="7" customWidth="1"/>
    <col min="9" max="9" width="7.81640625" style="81" customWidth="1"/>
    <col min="10" max="10" width="11.1796875" style="81" customWidth="1"/>
    <col min="11" max="11" width="17.1796875" style="7" customWidth="1"/>
    <col min="12" max="12" width="17.90625" style="7" customWidth="1"/>
  </cols>
  <sheetData>
    <row r="1" spans="1:12" ht="20" x14ac:dyDescent="0.4">
      <c r="A1" s="2" t="s">
        <v>169</v>
      </c>
      <c r="B1" s="87" t="s">
        <v>167</v>
      </c>
      <c r="C1" s="8"/>
      <c r="D1" s="8"/>
      <c r="E1" s="9"/>
      <c r="F1" s="8"/>
      <c r="G1" s="8"/>
      <c r="H1" s="10"/>
      <c r="I1" s="89" t="s">
        <v>0</v>
      </c>
      <c r="J1" s="88" t="s">
        <v>168</v>
      </c>
      <c r="K1"/>
      <c r="L1" s="11"/>
    </row>
    <row r="2" spans="1:12" ht="18" customHeight="1" x14ac:dyDescent="0.5">
      <c r="A2" s="12" t="s">
        <v>2</v>
      </c>
      <c r="B2" s="13"/>
      <c r="D2" s="14"/>
      <c r="E2" s="15"/>
      <c r="H2"/>
      <c r="I2" s="89" t="s">
        <v>3</v>
      </c>
      <c r="J2" s="88" t="s">
        <v>1</v>
      </c>
      <c r="K2"/>
      <c r="L2" s="16"/>
    </row>
    <row r="3" spans="1:12" ht="23" x14ac:dyDescent="0.4">
      <c r="A3" s="17" t="s">
        <v>4</v>
      </c>
      <c r="E3" s="18"/>
      <c r="H3" s="19"/>
      <c r="I3" s="90"/>
      <c r="J3" s="74"/>
      <c r="K3" s="20"/>
      <c r="L3" s="16"/>
    </row>
    <row r="4" spans="1:12" x14ac:dyDescent="0.25">
      <c r="A4" s="110" t="s">
        <v>5</v>
      </c>
      <c r="B4" s="110"/>
      <c r="C4" s="110"/>
      <c r="D4" s="110"/>
      <c r="E4" s="109"/>
      <c r="F4" s="109"/>
      <c r="G4" s="21" t="s">
        <v>6</v>
      </c>
      <c r="H4" s="111"/>
      <c r="I4" s="111"/>
      <c r="J4" s="111"/>
      <c r="K4" s="111"/>
      <c r="L4" s="111"/>
    </row>
    <row r="5" spans="1:12" ht="18" x14ac:dyDescent="0.4">
      <c r="A5" s="1">
        <v>2026</v>
      </c>
      <c r="B5" s="1"/>
      <c r="C5" s="86" t="s">
        <v>166</v>
      </c>
      <c r="E5" s="109"/>
      <c r="F5" s="109"/>
      <c r="G5" s="22" t="s">
        <v>7</v>
      </c>
      <c r="H5" s="111"/>
      <c r="I5" s="111"/>
      <c r="J5" s="111"/>
      <c r="K5" s="111"/>
      <c r="L5" s="111"/>
    </row>
    <row r="6" spans="1:12" ht="18" x14ac:dyDescent="0.4">
      <c r="A6" s="112"/>
      <c r="B6" s="112"/>
      <c r="C6" s="112"/>
      <c r="D6" s="112"/>
      <c r="E6" s="109"/>
      <c r="F6" s="109"/>
      <c r="G6" s="22"/>
      <c r="H6" s="111"/>
      <c r="I6" s="111"/>
      <c r="J6" s="111"/>
      <c r="K6" s="111"/>
      <c r="L6" s="111"/>
    </row>
    <row r="7" spans="1:12" ht="32" customHeight="1" x14ac:dyDescent="0.3">
      <c r="A7" s="23"/>
      <c r="B7" s="24" t="s">
        <v>8</v>
      </c>
      <c r="C7" s="24" t="s">
        <v>8</v>
      </c>
      <c r="D7" s="24" t="s">
        <v>9</v>
      </c>
      <c r="E7" s="23"/>
      <c r="F7" s="23"/>
      <c r="G7" s="24" t="s">
        <v>10</v>
      </c>
      <c r="H7" s="25" t="s">
        <v>11</v>
      </c>
      <c r="I7" s="91" t="s">
        <v>12</v>
      </c>
      <c r="J7" s="75"/>
      <c r="K7" s="24" t="s">
        <v>13</v>
      </c>
      <c r="L7" s="23"/>
    </row>
    <row r="8" spans="1:12" ht="13" x14ac:dyDescent="0.3">
      <c r="A8" s="24" t="s">
        <v>14</v>
      </c>
      <c r="B8" s="24" t="s">
        <v>15</v>
      </c>
      <c r="C8" s="24" t="s">
        <v>16</v>
      </c>
      <c r="D8" s="24" t="s">
        <v>17</v>
      </c>
      <c r="E8" s="26" t="s">
        <v>18</v>
      </c>
      <c r="F8" s="26" t="s">
        <v>19</v>
      </c>
      <c r="G8" s="24" t="s">
        <v>20</v>
      </c>
      <c r="H8" s="27" t="s">
        <v>21</v>
      </c>
      <c r="I8" s="92" t="s">
        <v>22</v>
      </c>
      <c r="J8" s="76" t="s">
        <v>23</v>
      </c>
      <c r="K8" s="24" t="s">
        <v>24</v>
      </c>
      <c r="L8" s="24" t="s">
        <v>25</v>
      </c>
    </row>
    <row r="9" spans="1:12" ht="20" customHeight="1" x14ac:dyDescent="0.4">
      <c r="A9" s="28"/>
      <c r="B9" s="28"/>
      <c r="C9" s="28"/>
      <c r="D9" s="28"/>
      <c r="E9" s="115">
        <v>1</v>
      </c>
      <c r="F9" s="116">
        <v>18</v>
      </c>
      <c r="G9" s="117">
        <v>2</v>
      </c>
      <c r="H9" s="29"/>
      <c r="I9" s="93"/>
      <c r="J9" s="77"/>
      <c r="K9" s="30">
        <v>6.25</v>
      </c>
      <c r="L9" s="31">
        <f>SUM(K11:K21)</f>
        <v>975</v>
      </c>
    </row>
    <row r="10" spans="1:12" ht="13" x14ac:dyDescent="0.3">
      <c r="A10"/>
      <c r="E10" s="2" t="s">
        <v>26</v>
      </c>
      <c r="G10" s="32"/>
      <c r="H10" s="33"/>
      <c r="J10" s="78"/>
      <c r="K10" s="34" t="s">
        <v>27</v>
      </c>
      <c r="L10" s="113" t="str">
        <f>J2</f>
        <v>SIDIAL FERRAGENS</v>
      </c>
    </row>
    <row r="11" spans="1:12" ht="13" x14ac:dyDescent="0.3">
      <c r="A11" s="35" t="s">
        <v>28</v>
      </c>
      <c r="B11" s="36">
        <v>2</v>
      </c>
      <c r="C11" s="36">
        <v>0</v>
      </c>
      <c r="D11" s="36">
        <v>2</v>
      </c>
      <c r="E11" s="2">
        <f>IF(B11="","",($F$9-$E$9+1-$G$9)*(B11)+((C11-G11)*D11))</f>
        <v>32</v>
      </c>
      <c r="F11" s="16"/>
      <c r="G11" s="16"/>
      <c r="H11" s="37">
        <v>0</v>
      </c>
      <c r="I11" s="94">
        <v>0</v>
      </c>
      <c r="J11" s="79">
        <f>IF((I11&lt;&gt;""),(I11-(H11*B11*C11)*$K$9))</f>
        <v>0</v>
      </c>
      <c r="K11" s="97">
        <f>IF(E11&lt;&gt;"",(E11*$K$9)+J11-I11,"")</f>
        <v>200</v>
      </c>
      <c r="L11" s="114"/>
    </row>
    <row r="12" spans="1:12" ht="13" x14ac:dyDescent="0.3">
      <c r="A12" s="35" t="s">
        <v>29</v>
      </c>
      <c r="B12" s="36">
        <v>2</v>
      </c>
      <c r="C12" s="36">
        <v>2</v>
      </c>
      <c r="D12" s="36">
        <v>3</v>
      </c>
      <c r="E12" s="2">
        <f t="shared" ref="E12:E75" si="0">IF(B12="","",($F$9-$E$9+1-$G$9)*(B12)+((C12-G12)*D12))</f>
        <v>38</v>
      </c>
      <c r="F12" s="16"/>
      <c r="G12" s="16"/>
      <c r="H12" s="37">
        <v>4</v>
      </c>
      <c r="I12" s="94">
        <v>150</v>
      </c>
      <c r="J12" s="79">
        <f t="shared" ref="J12:J75" si="1">IF((I12&lt;&gt;""),(I12-(H12*B12*C12)*$K$9))</f>
        <v>50</v>
      </c>
      <c r="K12" s="97">
        <f t="shared" ref="K12:K75" si="2">IF(E12&lt;&gt;"",(E12*$K$9)+J12-I12,"")</f>
        <v>137.5</v>
      </c>
      <c r="L12" s="114"/>
    </row>
    <row r="13" spans="1:12" ht="13" x14ac:dyDescent="0.3">
      <c r="A13" s="35" t="s">
        <v>30</v>
      </c>
      <c r="B13" s="36">
        <v>2</v>
      </c>
      <c r="C13" s="36">
        <v>0</v>
      </c>
      <c r="D13" s="36">
        <v>3</v>
      </c>
      <c r="E13" s="2">
        <f t="shared" si="0"/>
        <v>32</v>
      </c>
      <c r="F13" s="16"/>
      <c r="G13" s="16"/>
      <c r="H13" s="37">
        <v>0</v>
      </c>
      <c r="I13" s="94">
        <v>0</v>
      </c>
      <c r="J13" s="79">
        <f t="shared" si="1"/>
        <v>0</v>
      </c>
      <c r="K13" s="97">
        <f t="shared" si="2"/>
        <v>200</v>
      </c>
      <c r="L13" s="114"/>
    </row>
    <row r="14" spans="1:12" ht="13" x14ac:dyDescent="0.3">
      <c r="A14" s="35" t="s">
        <v>31</v>
      </c>
      <c r="B14" s="36">
        <v>2</v>
      </c>
      <c r="C14" s="36">
        <v>0</v>
      </c>
      <c r="D14" s="36">
        <v>3</v>
      </c>
      <c r="E14" s="2">
        <f t="shared" si="0"/>
        <v>32</v>
      </c>
      <c r="F14" s="16"/>
      <c r="G14" s="16"/>
      <c r="H14" s="37">
        <v>0</v>
      </c>
      <c r="I14" s="94">
        <v>0</v>
      </c>
      <c r="J14" s="79">
        <f t="shared" si="1"/>
        <v>0</v>
      </c>
      <c r="K14" s="97">
        <f t="shared" si="2"/>
        <v>200</v>
      </c>
      <c r="L14" s="114"/>
    </row>
    <row r="15" spans="1:12" ht="13" x14ac:dyDescent="0.3">
      <c r="A15" s="35" t="s">
        <v>32</v>
      </c>
      <c r="B15" s="36">
        <v>2</v>
      </c>
      <c r="C15" s="36">
        <v>2</v>
      </c>
      <c r="D15" s="36">
        <v>3</v>
      </c>
      <c r="E15" s="2">
        <f t="shared" si="0"/>
        <v>38</v>
      </c>
      <c r="F15" s="16"/>
      <c r="G15" s="16"/>
      <c r="H15" s="37">
        <v>0</v>
      </c>
      <c r="I15" s="94">
        <v>0</v>
      </c>
      <c r="J15" s="79">
        <f t="shared" si="1"/>
        <v>0</v>
      </c>
      <c r="K15" s="97">
        <f t="shared" si="2"/>
        <v>237.5</v>
      </c>
      <c r="L15" s="114"/>
    </row>
    <row r="16" spans="1:12" ht="13" x14ac:dyDescent="0.3">
      <c r="A16" s="35"/>
      <c r="B16" s="36"/>
      <c r="C16" s="36"/>
      <c r="D16" s="36"/>
      <c r="E16" s="2" t="str">
        <f t="shared" si="0"/>
        <v/>
      </c>
      <c r="F16" s="38"/>
      <c r="G16" s="16"/>
      <c r="H16" s="37">
        <v>0</v>
      </c>
      <c r="I16" s="94">
        <v>0</v>
      </c>
      <c r="J16" s="79">
        <f t="shared" si="1"/>
        <v>0</v>
      </c>
      <c r="K16" s="97" t="str">
        <f t="shared" si="2"/>
        <v/>
      </c>
      <c r="L16" s="114"/>
    </row>
    <row r="17" spans="1:12" ht="13" x14ac:dyDescent="0.3">
      <c r="A17" s="35"/>
      <c r="B17" s="36"/>
      <c r="C17" s="36"/>
      <c r="D17" s="36"/>
      <c r="E17" s="2" t="str">
        <f t="shared" si="0"/>
        <v/>
      </c>
      <c r="F17" s="16"/>
      <c r="G17" s="16"/>
      <c r="H17" s="37">
        <v>0</v>
      </c>
      <c r="I17" s="94">
        <v>0</v>
      </c>
      <c r="J17" s="79">
        <f t="shared" si="1"/>
        <v>0</v>
      </c>
      <c r="K17" s="97" t="str">
        <f t="shared" si="2"/>
        <v/>
      </c>
      <c r="L17" s="114"/>
    </row>
    <row r="18" spans="1:12" ht="13" x14ac:dyDescent="0.3">
      <c r="A18" s="39"/>
      <c r="B18" s="36"/>
      <c r="C18" s="36"/>
      <c r="D18" s="36"/>
      <c r="E18" s="2" t="str">
        <f t="shared" si="0"/>
        <v/>
      </c>
      <c r="F18" s="16"/>
      <c r="G18" s="16"/>
      <c r="H18" s="37">
        <v>4</v>
      </c>
      <c r="I18" s="94">
        <v>70</v>
      </c>
      <c r="J18" s="79">
        <f t="shared" si="1"/>
        <v>70</v>
      </c>
      <c r="K18" s="97" t="str">
        <f t="shared" si="2"/>
        <v/>
      </c>
      <c r="L18" s="114"/>
    </row>
    <row r="19" spans="1:12" ht="13" x14ac:dyDescent="0.3">
      <c r="A19" s="35"/>
      <c r="B19" s="36"/>
      <c r="C19" s="36"/>
      <c r="D19" s="36"/>
      <c r="E19" s="2" t="str">
        <f t="shared" si="0"/>
        <v/>
      </c>
      <c r="F19" s="16"/>
      <c r="G19" s="16"/>
      <c r="H19" s="37">
        <v>2</v>
      </c>
      <c r="I19" s="94">
        <v>89</v>
      </c>
      <c r="J19" s="79">
        <f t="shared" si="1"/>
        <v>89</v>
      </c>
      <c r="K19" s="97" t="str">
        <f t="shared" si="2"/>
        <v/>
      </c>
      <c r="L19" s="114"/>
    </row>
    <row r="20" spans="1:12" ht="13" x14ac:dyDescent="0.3">
      <c r="A20" s="35"/>
      <c r="B20" s="36"/>
      <c r="C20" s="36"/>
      <c r="D20" s="36"/>
      <c r="E20" s="2" t="str">
        <f t="shared" si="0"/>
        <v/>
      </c>
      <c r="F20" s="16"/>
      <c r="G20" s="99"/>
      <c r="H20" s="37">
        <v>0</v>
      </c>
      <c r="I20" s="94">
        <v>0</v>
      </c>
      <c r="J20" s="79">
        <f t="shared" si="1"/>
        <v>0</v>
      </c>
      <c r="K20" s="97" t="str">
        <f t="shared" si="2"/>
        <v/>
      </c>
      <c r="L20" s="114"/>
    </row>
    <row r="21" spans="1:12" s="4" customFormat="1" ht="13" x14ac:dyDescent="0.3">
      <c r="A21" s="40"/>
      <c r="B21" s="41"/>
      <c r="C21" s="41"/>
      <c r="D21" s="41"/>
      <c r="E21" s="2" t="str">
        <f t="shared" si="0"/>
        <v/>
      </c>
      <c r="F21" s="2"/>
      <c r="G21" s="2"/>
      <c r="H21" s="42">
        <v>0</v>
      </c>
      <c r="I21" s="95">
        <v>0</v>
      </c>
      <c r="J21" s="79">
        <f t="shared" si="1"/>
        <v>0</v>
      </c>
      <c r="K21" s="97" t="str">
        <f t="shared" si="2"/>
        <v/>
      </c>
      <c r="L21" s="114"/>
    </row>
    <row r="22" spans="1:12" s="4" customFormat="1" ht="13" x14ac:dyDescent="0.3">
      <c r="A22" s="40"/>
      <c r="B22" s="41"/>
      <c r="C22" s="41"/>
      <c r="D22" s="41"/>
      <c r="E22" s="2" t="str">
        <f t="shared" si="0"/>
        <v/>
      </c>
      <c r="F22" s="2"/>
      <c r="G22" s="2"/>
      <c r="H22" s="42">
        <v>0</v>
      </c>
      <c r="I22" s="95">
        <v>0</v>
      </c>
      <c r="J22" s="79">
        <f t="shared" si="1"/>
        <v>0</v>
      </c>
      <c r="K22" s="97" t="str">
        <f t="shared" si="2"/>
        <v/>
      </c>
      <c r="L22" s="114"/>
    </row>
    <row r="23" spans="1:12" s="4" customFormat="1" ht="13" x14ac:dyDescent="0.3">
      <c r="A23" s="40"/>
      <c r="B23" s="41"/>
      <c r="C23" s="41"/>
      <c r="D23" s="41"/>
      <c r="E23" s="2" t="str">
        <f t="shared" si="0"/>
        <v/>
      </c>
      <c r="F23" s="98"/>
      <c r="G23" s="98"/>
      <c r="H23" s="42">
        <v>0</v>
      </c>
      <c r="I23" s="95">
        <v>0</v>
      </c>
      <c r="J23" s="79">
        <f t="shared" si="1"/>
        <v>0</v>
      </c>
      <c r="K23" s="97" t="str">
        <f t="shared" si="2"/>
        <v/>
      </c>
      <c r="L23" s="109"/>
    </row>
    <row r="24" spans="1:12" s="4" customFormat="1" ht="13" x14ac:dyDescent="0.3">
      <c r="A24" s="40"/>
      <c r="B24" s="41"/>
      <c r="C24" s="41"/>
      <c r="D24" s="41"/>
      <c r="E24" s="2" t="str">
        <f t="shared" si="0"/>
        <v/>
      </c>
      <c r="F24" s="2"/>
      <c r="G24" s="2"/>
      <c r="H24" s="42">
        <v>0</v>
      </c>
      <c r="I24" s="95">
        <v>0</v>
      </c>
      <c r="J24" s="79">
        <f t="shared" si="1"/>
        <v>0</v>
      </c>
      <c r="K24" s="97" t="str">
        <f t="shared" si="2"/>
        <v/>
      </c>
      <c r="L24" s="109"/>
    </row>
    <row r="25" spans="1:12" s="4" customFormat="1" ht="13" x14ac:dyDescent="0.3">
      <c r="A25" s="40"/>
      <c r="B25" s="41"/>
      <c r="C25" s="41"/>
      <c r="D25" s="41"/>
      <c r="E25" s="2" t="str">
        <f t="shared" si="0"/>
        <v/>
      </c>
      <c r="F25" s="2"/>
      <c r="G25" s="2"/>
      <c r="H25" s="42">
        <v>0</v>
      </c>
      <c r="I25" s="95">
        <v>0</v>
      </c>
      <c r="J25" s="79">
        <f t="shared" si="1"/>
        <v>0</v>
      </c>
      <c r="K25" s="97" t="str">
        <f t="shared" si="2"/>
        <v/>
      </c>
      <c r="L25" s="109"/>
    </row>
    <row r="26" spans="1:12" s="4" customFormat="1" ht="13" x14ac:dyDescent="0.3">
      <c r="A26" s="40"/>
      <c r="B26" s="41"/>
      <c r="C26" s="41"/>
      <c r="D26" s="41"/>
      <c r="E26" s="2" t="str">
        <f t="shared" si="0"/>
        <v/>
      </c>
      <c r="F26" s="2"/>
      <c r="G26" s="2"/>
      <c r="H26" s="42">
        <v>0</v>
      </c>
      <c r="I26" s="95">
        <v>0</v>
      </c>
      <c r="J26" s="79">
        <f t="shared" si="1"/>
        <v>0</v>
      </c>
      <c r="K26" s="97" t="str">
        <f t="shared" si="2"/>
        <v/>
      </c>
      <c r="L26" s="109"/>
    </row>
    <row r="27" spans="1:12" s="4" customFormat="1" ht="13" x14ac:dyDescent="0.3">
      <c r="A27" s="40"/>
      <c r="B27" s="41"/>
      <c r="C27" s="41"/>
      <c r="D27" s="41"/>
      <c r="E27" s="2" t="str">
        <f t="shared" si="0"/>
        <v/>
      </c>
      <c r="F27" s="2"/>
      <c r="G27" s="2"/>
      <c r="H27" s="42">
        <v>0</v>
      </c>
      <c r="I27" s="95">
        <v>0</v>
      </c>
      <c r="J27" s="79">
        <f t="shared" si="1"/>
        <v>0</v>
      </c>
      <c r="K27" s="97" t="str">
        <f t="shared" si="2"/>
        <v/>
      </c>
      <c r="L27" s="109"/>
    </row>
    <row r="28" spans="1:12" s="4" customFormat="1" ht="13" x14ac:dyDescent="0.3">
      <c r="A28" s="40"/>
      <c r="B28" s="41"/>
      <c r="C28" s="41"/>
      <c r="D28" s="41"/>
      <c r="E28" s="2" t="str">
        <f t="shared" si="0"/>
        <v/>
      </c>
      <c r="F28" s="2"/>
      <c r="G28" s="2"/>
      <c r="H28" s="42">
        <v>0</v>
      </c>
      <c r="I28" s="95">
        <v>0</v>
      </c>
      <c r="J28" s="79">
        <f t="shared" si="1"/>
        <v>0</v>
      </c>
      <c r="K28" s="97" t="str">
        <f t="shared" si="2"/>
        <v/>
      </c>
      <c r="L28" s="109"/>
    </row>
    <row r="29" spans="1:12" s="4" customFormat="1" ht="13" x14ac:dyDescent="0.3">
      <c r="A29" s="40"/>
      <c r="B29" s="41"/>
      <c r="C29" s="41"/>
      <c r="D29" s="41"/>
      <c r="E29" s="2" t="str">
        <f t="shared" si="0"/>
        <v/>
      </c>
      <c r="F29" s="2"/>
      <c r="G29" s="2"/>
      <c r="H29" s="42">
        <v>0</v>
      </c>
      <c r="I29" s="95">
        <v>0</v>
      </c>
      <c r="J29" s="79">
        <f t="shared" si="1"/>
        <v>0</v>
      </c>
      <c r="K29" s="97" t="str">
        <f t="shared" si="2"/>
        <v/>
      </c>
      <c r="L29" s="109"/>
    </row>
    <row r="30" spans="1:12" s="4" customFormat="1" ht="13" x14ac:dyDescent="0.3">
      <c r="A30" s="40"/>
      <c r="B30" s="41"/>
      <c r="C30" s="41"/>
      <c r="D30" s="41"/>
      <c r="E30" s="2" t="str">
        <f t="shared" si="0"/>
        <v/>
      </c>
      <c r="F30" s="2"/>
      <c r="G30" s="2"/>
      <c r="H30" s="42">
        <v>0</v>
      </c>
      <c r="I30" s="95">
        <v>0</v>
      </c>
      <c r="J30" s="79">
        <f t="shared" si="1"/>
        <v>0</v>
      </c>
      <c r="K30" s="97" t="str">
        <f t="shared" si="2"/>
        <v/>
      </c>
      <c r="L30" s="109"/>
    </row>
    <row r="31" spans="1:12" s="4" customFormat="1" ht="13" x14ac:dyDescent="0.3">
      <c r="A31" s="40"/>
      <c r="B31" s="41"/>
      <c r="C31" s="41"/>
      <c r="D31" s="41"/>
      <c r="E31" s="2" t="str">
        <f t="shared" si="0"/>
        <v/>
      </c>
      <c r="F31" s="2"/>
      <c r="G31" s="2"/>
      <c r="H31" s="42">
        <v>0</v>
      </c>
      <c r="I31" s="95">
        <v>0</v>
      </c>
      <c r="J31" s="79">
        <f t="shared" si="1"/>
        <v>0</v>
      </c>
      <c r="K31" s="97" t="str">
        <f t="shared" si="2"/>
        <v/>
      </c>
      <c r="L31" s="109"/>
    </row>
    <row r="32" spans="1:12" s="4" customFormat="1" ht="13" x14ac:dyDescent="0.3">
      <c r="A32" s="40"/>
      <c r="B32" s="41"/>
      <c r="C32" s="41"/>
      <c r="D32" s="41"/>
      <c r="E32" s="2" t="str">
        <f t="shared" si="0"/>
        <v/>
      </c>
      <c r="F32" s="2"/>
      <c r="G32" s="2"/>
      <c r="H32" s="42">
        <v>0</v>
      </c>
      <c r="I32" s="95">
        <v>0</v>
      </c>
      <c r="J32" s="79">
        <f t="shared" si="1"/>
        <v>0</v>
      </c>
      <c r="K32" s="97" t="str">
        <f t="shared" si="2"/>
        <v/>
      </c>
      <c r="L32" s="109"/>
    </row>
    <row r="33" spans="1:12" s="4" customFormat="1" ht="13" x14ac:dyDescent="0.3">
      <c r="A33" s="40"/>
      <c r="B33" s="41"/>
      <c r="C33" s="41"/>
      <c r="D33" s="41"/>
      <c r="E33" s="2" t="str">
        <f t="shared" si="0"/>
        <v/>
      </c>
      <c r="F33" s="2"/>
      <c r="G33" s="2"/>
      <c r="H33" s="42">
        <v>0</v>
      </c>
      <c r="I33" s="95">
        <v>0</v>
      </c>
      <c r="J33" s="79">
        <f t="shared" si="1"/>
        <v>0</v>
      </c>
      <c r="K33" s="97" t="str">
        <f t="shared" si="2"/>
        <v/>
      </c>
      <c r="L33" s="109"/>
    </row>
    <row r="34" spans="1:12" s="4" customFormat="1" ht="13" x14ac:dyDescent="0.3">
      <c r="A34" s="40"/>
      <c r="B34" s="41"/>
      <c r="C34" s="41"/>
      <c r="D34" s="41"/>
      <c r="E34" s="2" t="str">
        <f t="shared" si="0"/>
        <v/>
      </c>
      <c r="F34" s="2"/>
      <c r="G34" s="2"/>
      <c r="H34" s="42">
        <v>0</v>
      </c>
      <c r="I34" s="95">
        <v>0</v>
      </c>
      <c r="J34" s="79">
        <f t="shared" si="1"/>
        <v>0</v>
      </c>
      <c r="K34" s="97" t="str">
        <f t="shared" si="2"/>
        <v/>
      </c>
      <c r="L34" s="109"/>
    </row>
    <row r="35" spans="1:12" s="4" customFormat="1" ht="13" x14ac:dyDescent="0.3">
      <c r="A35" s="40"/>
      <c r="B35" s="41"/>
      <c r="C35" s="41"/>
      <c r="D35" s="41"/>
      <c r="E35" s="2" t="str">
        <f t="shared" si="0"/>
        <v/>
      </c>
      <c r="F35" s="2"/>
      <c r="G35" s="2"/>
      <c r="H35" s="42">
        <v>0</v>
      </c>
      <c r="I35" s="95">
        <v>0</v>
      </c>
      <c r="J35" s="79">
        <f t="shared" si="1"/>
        <v>0</v>
      </c>
      <c r="K35" s="97" t="str">
        <f t="shared" si="2"/>
        <v/>
      </c>
      <c r="L35" s="109"/>
    </row>
    <row r="36" spans="1:12" s="4" customFormat="1" ht="13" x14ac:dyDescent="0.3">
      <c r="A36" s="40"/>
      <c r="B36" s="41"/>
      <c r="C36" s="41"/>
      <c r="D36" s="41"/>
      <c r="E36" s="2" t="str">
        <f t="shared" si="0"/>
        <v/>
      </c>
      <c r="F36" s="2"/>
      <c r="G36" s="2"/>
      <c r="H36" s="42">
        <v>0</v>
      </c>
      <c r="I36" s="95">
        <v>0</v>
      </c>
      <c r="J36" s="79">
        <f t="shared" si="1"/>
        <v>0</v>
      </c>
      <c r="K36" s="97" t="str">
        <f t="shared" si="2"/>
        <v/>
      </c>
      <c r="L36" s="109"/>
    </row>
    <row r="37" spans="1:12" s="4" customFormat="1" ht="13" x14ac:dyDescent="0.3">
      <c r="A37" s="40"/>
      <c r="B37" s="41"/>
      <c r="C37" s="41"/>
      <c r="D37" s="41"/>
      <c r="E37" s="2" t="str">
        <f t="shared" si="0"/>
        <v/>
      </c>
      <c r="F37" s="2"/>
      <c r="G37" s="2"/>
      <c r="H37" s="42">
        <v>0</v>
      </c>
      <c r="I37" s="95">
        <v>0</v>
      </c>
      <c r="J37" s="79">
        <f t="shared" si="1"/>
        <v>0</v>
      </c>
      <c r="K37" s="97" t="str">
        <f t="shared" si="2"/>
        <v/>
      </c>
      <c r="L37" s="109"/>
    </row>
    <row r="38" spans="1:12" s="4" customFormat="1" ht="13" x14ac:dyDescent="0.3">
      <c r="A38" s="40"/>
      <c r="B38" s="41"/>
      <c r="C38" s="41"/>
      <c r="D38" s="41"/>
      <c r="E38" s="2" t="str">
        <f t="shared" si="0"/>
        <v/>
      </c>
      <c r="F38" s="2"/>
      <c r="G38" s="2"/>
      <c r="H38" s="42">
        <v>0</v>
      </c>
      <c r="I38" s="95">
        <v>0</v>
      </c>
      <c r="J38" s="79">
        <f t="shared" si="1"/>
        <v>0</v>
      </c>
      <c r="K38" s="97" t="str">
        <f t="shared" si="2"/>
        <v/>
      </c>
      <c r="L38" s="109"/>
    </row>
    <row r="39" spans="1:12" s="4" customFormat="1" ht="13" x14ac:dyDescent="0.3">
      <c r="A39" s="40"/>
      <c r="B39" s="41"/>
      <c r="C39" s="41"/>
      <c r="D39" s="41"/>
      <c r="E39" s="2" t="str">
        <f t="shared" si="0"/>
        <v/>
      </c>
      <c r="F39" s="2"/>
      <c r="G39" s="2"/>
      <c r="H39" s="42">
        <v>0</v>
      </c>
      <c r="I39" s="95">
        <v>0</v>
      </c>
      <c r="J39" s="79">
        <f t="shared" si="1"/>
        <v>0</v>
      </c>
      <c r="K39" s="97" t="str">
        <f t="shared" si="2"/>
        <v/>
      </c>
      <c r="L39" s="109"/>
    </row>
    <row r="40" spans="1:12" s="4" customFormat="1" ht="13" x14ac:dyDescent="0.3">
      <c r="A40" s="40"/>
      <c r="B40" s="41"/>
      <c r="C40" s="41"/>
      <c r="D40" s="41"/>
      <c r="E40" s="2" t="str">
        <f t="shared" si="0"/>
        <v/>
      </c>
      <c r="F40" s="2"/>
      <c r="G40" s="2"/>
      <c r="H40" s="42">
        <v>0</v>
      </c>
      <c r="I40" s="95">
        <v>0</v>
      </c>
      <c r="J40" s="79">
        <f t="shared" si="1"/>
        <v>0</v>
      </c>
      <c r="K40" s="97" t="str">
        <f t="shared" si="2"/>
        <v/>
      </c>
      <c r="L40" s="109"/>
    </row>
    <row r="41" spans="1:12" s="4" customFormat="1" ht="13" x14ac:dyDescent="0.3">
      <c r="A41" s="40"/>
      <c r="B41" s="41"/>
      <c r="C41" s="41"/>
      <c r="D41" s="41"/>
      <c r="E41" s="2" t="str">
        <f t="shared" si="0"/>
        <v/>
      </c>
      <c r="F41" s="2"/>
      <c r="G41" s="2"/>
      <c r="H41" s="42">
        <v>0</v>
      </c>
      <c r="I41" s="95">
        <v>0</v>
      </c>
      <c r="J41" s="79">
        <f t="shared" si="1"/>
        <v>0</v>
      </c>
      <c r="K41" s="97" t="str">
        <f t="shared" si="2"/>
        <v/>
      </c>
      <c r="L41" s="109"/>
    </row>
    <row r="42" spans="1:12" s="4" customFormat="1" ht="13" x14ac:dyDescent="0.3">
      <c r="A42" s="40"/>
      <c r="B42" s="41"/>
      <c r="C42" s="41"/>
      <c r="D42" s="41"/>
      <c r="E42" s="2" t="str">
        <f t="shared" si="0"/>
        <v/>
      </c>
      <c r="F42" s="2"/>
      <c r="G42" s="2"/>
      <c r="H42" s="42">
        <v>0</v>
      </c>
      <c r="I42" s="95">
        <v>0</v>
      </c>
      <c r="J42" s="79">
        <f t="shared" si="1"/>
        <v>0</v>
      </c>
      <c r="K42" s="97" t="str">
        <f t="shared" si="2"/>
        <v/>
      </c>
      <c r="L42" s="109"/>
    </row>
    <row r="43" spans="1:12" s="4" customFormat="1" ht="13" x14ac:dyDescent="0.3">
      <c r="A43" s="40"/>
      <c r="B43" s="41"/>
      <c r="C43" s="41"/>
      <c r="D43" s="41"/>
      <c r="E43" s="2" t="str">
        <f t="shared" si="0"/>
        <v/>
      </c>
      <c r="F43" s="2"/>
      <c r="G43" s="2"/>
      <c r="H43" s="42">
        <v>0</v>
      </c>
      <c r="I43" s="95">
        <v>0</v>
      </c>
      <c r="J43" s="79">
        <f t="shared" si="1"/>
        <v>0</v>
      </c>
      <c r="K43" s="97" t="str">
        <f t="shared" si="2"/>
        <v/>
      </c>
      <c r="L43" s="109"/>
    </row>
    <row r="44" spans="1:12" s="4" customFormat="1" ht="13" x14ac:dyDescent="0.3">
      <c r="A44" s="40"/>
      <c r="B44" s="41"/>
      <c r="C44" s="41"/>
      <c r="D44" s="41"/>
      <c r="E44" s="2" t="str">
        <f t="shared" si="0"/>
        <v/>
      </c>
      <c r="F44" s="2"/>
      <c r="G44" s="2"/>
      <c r="H44" s="42">
        <v>0</v>
      </c>
      <c r="I44" s="95">
        <v>0</v>
      </c>
      <c r="J44" s="79">
        <f t="shared" si="1"/>
        <v>0</v>
      </c>
      <c r="K44" s="97" t="str">
        <f t="shared" si="2"/>
        <v/>
      </c>
      <c r="L44" s="109"/>
    </row>
    <row r="45" spans="1:12" s="4" customFormat="1" ht="13" x14ac:dyDescent="0.3">
      <c r="A45" s="40"/>
      <c r="B45" s="41"/>
      <c r="C45" s="41"/>
      <c r="D45" s="41"/>
      <c r="E45" s="2" t="str">
        <f t="shared" si="0"/>
        <v/>
      </c>
      <c r="F45" s="2"/>
      <c r="G45" s="2"/>
      <c r="H45" s="42">
        <v>0</v>
      </c>
      <c r="I45" s="95">
        <v>0</v>
      </c>
      <c r="J45" s="79">
        <f t="shared" si="1"/>
        <v>0</v>
      </c>
      <c r="K45" s="97" t="str">
        <f t="shared" si="2"/>
        <v/>
      </c>
      <c r="L45" s="109"/>
    </row>
    <row r="46" spans="1:12" s="4" customFormat="1" ht="13" x14ac:dyDescent="0.3">
      <c r="A46" s="40"/>
      <c r="B46" s="41"/>
      <c r="C46" s="41"/>
      <c r="D46" s="41"/>
      <c r="E46" s="2" t="str">
        <f t="shared" si="0"/>
        <v/>
      </c>
      <c r="F46" s="2"/>
      <c r="G46" s="2"/>
      <c r="H46" s="42">
        <v>0</v>
      </c>
      <c r="I46" s="95">
        <v>0</v>
      </c>
      <c r="J46" s="79">
        <f t="shared" si="1"/>
        <v>0</v>
      </c>
      <c r="K46" s="97" t="str">
        <f t="shared" si="2"/>
        <v/>
      </c>
      <c r="L46" s="109"/>
    </row>
    <row r="47" spans="1:12" s="4" customFormat="1" ht="13" x14ac:dyDescent="0.3">
      <c r="A47" s="40"/>
      <c r="B47" s="41"/>
      <c r="C47" s="41"/>
      <c r="D47" s="41"/>
      <c r="E47" s="2" t="str">
        <f t="shared" si="0"/>
        <v/>
      </c>
      <c r="F47" s="2"/>
      <c r="G47" s="2"/>
      <c r="H47" s="42">
        <v>0</v>
      </c>
      <c r="I47" s="95">
        <v>0</v>
      </c>
      <c r="J47" s="79">
        <f t="shared" si="1"/>
        <v>0</v>
      </c>
      <c r="K47" s="97" t="str">
        <f t="shared" si="2"/>
        <v/>
      </c>
      <c r="L47" s="109"/>
    </row>
    <row r="48" spans="1:12" s="4" customFormat="1" ht="13" x14ac:dyDescent="0.3">
      <c r="A48" s="40"/>
      <c r="B48" s="41"/>
      <c r="C48" s="41"/>
      <c r="D48" s="41"/>
      <c r="E48" s="2" t="str">
        <f t="shared" si="0"/>
        <v/>
      </c>
      <c r="F48" s="2"/>
      <c r="G48" s="2"/>
      <c r="H48" s="42">
        <v>0</v>
      </c>
      <c r="I48" s="95">
        <v>0</v>
      </c>
      <c r="J48" s="79">
        <f t="shared" si="1"/>
        <v>0</v>
      </c>
      <c r="K48" s="97" t="str">
        <f t="shared" si="2"/>
        <v/>
      </c>
      <c r="L48" s="109"/>
    </row>
    <row r="49" spans="1:12" s="4" customFormat="1" ht="13" x14ac:dyDescent="0.3">
      <c r="A49" s="40"/>
      <c r="B49" s="41"/>
      <c r="C49" s="41"/>
      <c r="D49" s="41"/>
      <c r="E49" s="2" t="str">
        <f t="shared" si="0"/>
        <v/>
      </c>
      <c r="F49" s="2"/>
      <c r="G49" s="2"/>
      <c r="H49" s="42">
        <v>0</v>
      </c>
      <c r="I49" s="95">
        <v>0</v>
      </c>
      <c r="J49" s="79">
        <f t="shared" si="1"/>
        <v>0</v>
      </c>
      <c r="K49" s="97" t="str">
        <f t="shared" si="2"/>
        <v/>
      </c>
      <c r="L49" s="109"/>
    </row>
    <row r="50" spans="1:12" s="4" customFormat="1" ht="13" x14ac:dyDescent="0.3">
      <c r="A50" s="40"/>
      <c r="B50" s="41"/>
      <c r="C50" s="41"/>
      <c r="D50" s="41"/>
      <c r="E50" s="2" t="str">
        <f t="shared" si="0"/>
        <v/>
      </c>
      <c r="F50" s="2"/>
      <c r="G50" s="2"/>
      <c r="H50" s="42">
        <v>0</v>
      </c>
      <c r="I50" s="95">
        <v>0</v>
      </c>
      <c r="J50" s="79">
        <f t="shared" si="1"/>
        <v>0</v>
      </c>
      <c r="K50" s="97" t="str">
        <f t="shared" si="2"/>
        <v/>
      </c>
      <c r="L50" s="109"/>
    </row>
    <row r="51" spans="1:12" s="4" customFormat="1" ht="13" x14ac:dyDescent="0.3">
      <c r="A51" s="40"/>
      <c r="B51" s="41"/>
      <c r="C51" s="41"/>
      <c r="D51" s="41"/>
      <c r="E51" s="2" t="str">
        <f t="shared" si="0"/>
        <v/>
      </c>
      <c r="F51" s="2"/>
      <c r="G51" s="2"/>
      <c r="H51" s="42">
        <v>0</v>
      </c>
      <c r="I51" s="95">
        <v>0</v>
      </c>
      <c r="J51" s="79">
        <f t="shared" si="1"/>
        <v>0</v>
      </c>
      <c r="K51" s="97" t="str">
        <f t="shared" si="2"/>
        <v/>
      </c>
      <c r="L51" s="109"/>
    </row>
    <row r="52" spans="1:12" s="4" customFormat="1" ht="13" x14ac:dyDescent="0.3">
      <c r="A52" s="40"/>
      <c r="B52" s="41"/>
      <c r="C52" s="41"/>
      <c r="D52" s="41"/>
      <c r="E52" s="2" t="str">
        <f t="shared" si="0"/>
        <v/>
      </c>
      <c r="F52" s="2"/>
      <c r="G52" s="2"/>
      <c r="H52" s="42">
        <v>0</v>
      </c>
      <c r="I52" s="95">
        <v>0</v>
      </c>
      <c r="J52" s="79">
        <f t="shared" si="1"/>
        <v>0</v>
      </c>
      <c r="K52" s="97" t="str">
        <f t="shared" si="2"/>
        <v/>
      </c>
      <c r="L52" s="109"/>
    </row>
    <row r="53" spans="1:12" s="4" customFormat="1" ht="13" x14ac:dyDescent="0.3">
      <c r="A53" s="40"/>
      <c r="B53" s="41"/>
      <c r="C53" s="41"/>
      <c r="D53" s="41"/>
      <c r="E53" s="2" t="str">
        <f t="shared" si="0"/>
        <v/>
      </c>
      <c r="F53" s="2"/>
      <c r="G53" s="2"/>
      <c r="H53" s="42">
        <v>0</v>
      </c>
      <c r="I53" s="95">
        <v>0</v>
      </c>
      <c r="J53" s="79">
        <f t="shared" si="1"/>
        <v>0</v>
      </c>
      <c r="K53" s="97" t="str">
        <f t="shared" si="2"/>
        <v/>
      </c>
      <c r="L53" s="109"/>
    </row>
    <row r="54" spans="1:12" s="4" customFormat="1" ht="13" x14ac:dyDescent="0.3">
      <c r="A54" s="40"/>
      <c r="B54" s="41"/>
      <c r="C54" s="41"/>
      <c r="D54" s="41"/>
      <c r="E54" s="2" t="str">
        <f t="shared" si="0"/>
        <v/>
      </c>
      <c r="F54" s="2"/>
      <c r="G54" s="2"/>
      <c r="H54" s="42">
        <v>0</v>
      </c>
      <c r="I54" s="95">
        <v>0</v>
      </c>
      <c r="J54" s="79">
        <f t="shared" si="1"/>
        <v>0</v>
      </c>
      <c r="K54" s="97" t="str">
        <f t="shared" si="2"/>
        <v/>
      </c>
      <c r="L54" s="109"/>
    </row>
    <row r="55" spans="1:12" s="4" customFormat="1" ht="13" x14ac:dyDescent="0.3">
      <c r="A55" s="40"/>
      <c r="B55" s="41"/>
      <c r="C55" s="41"/>
      <c r="D55" s="41"/>
      <c r="E55" s="2" t="str">
        <f t="shared" si="0"/>
        <v/>
      </c>
      <c r="F55" s="2"/>
      <c r="G55" s="2"/>
      <c r="H55" s="42">
        <v>0</v>
      </c>
      <c r="I55" s="95">
        <v>0</v>
      </c>
      <c r="J55" s="79">
        <f t="shared" si="1"/>
        <v>0</v>
      </c>
      <c r="K55" s="97" t="str">
        <f t="shared" si="2"/>
        <v/>
      </c>
      <c r="L55" s="109"/>
    </row>
    <row r="56" spans="1:12" s="4" customFormat="1" ht="13" x14ac:dyDescent="0.3">
      <c r="A56" s="40"/>
      <c r="B56" s="41"/>
      <c r="C56" s="41"/>
      <c r="D56" s="41"/>
      <c r="E56" s="2" t="str">
        <f t="shared" si="0"/>
        <v/>
      </c>
      <c r="F56" s="2"/>
      <c r="G56" s="2"/>
      <c r="H56" s="42">
        <v>0</v>
      </c>
      <c r="I56" s="95">
        <v>0</v>
      </c>
      <c r="J56" s="79">
        <f t="shared" si="1"/>
        <v>0</v>
      </c>
      <c r="K56" s="97" t="str">
        <f t="shared" si="2"/>
        <v/>
      </c>
      <c r="L56" s="109"/>
    </row>
    <row r="57" spans="1:12" s="4" customFormat="1" ht="13" x14ac:dyDescent="0.3">
      <c r="A57" s="40"/>
      <c r="B57" s="41"/>
      <c r="C57" s="41"/>
      <c r="D57" s="41"/>
      <c r="E57" s="2" t="str">
        <f t="shared" si="0"/>
        <v/>
      </c>
      <c r="F57" s="2"/>
      <c r="G57" s="2"/>
      <c r="H57" s="42">
        <v>0</v>
      </c>
      <c r="I57" s="95">
        <v>0</v>
      </c>
      <c r="J57" s="79">
        <f t="shared" si="1"/>
        <v>0</v>
      </c>
      <c r="K57" s="97" t="str">
        <f t="shared" si="2"/>
        <v/>
      </c>
      <c r="L57" s="109"/>
    </row>
    <row r="58" spans="1:12" s="4" customFormat="1" ht="13" x14ac:dyDescent="0.3">
      <c r="A58" s="40"/>
      <c r="B58" s="41"/>
      <c r="C58" s="41"/>
      <c r="D58" s="41"/>
      <c r="E58" s="2" t="str">
        <f t="shared" si="0"/>
        <v/>
      </c>
      <c r="F58" s="2"/>
      <c r="G58" s="2"/>
      <c r="H58" s="42">
        <v>0</v>
      </c>
      <c r="I58" s="95">
        <v>0</v>
      </c>
      <c r="J58" s="79">
        <f t="shared" si="1"/>
        <v>0</v>
      </c>
      <c r="K58" s="97" t="str">
        <f t="shared" si="2"/>
        <v/>
      </c>
      <c r="L58" s="109"/>
    </row>
    <row r="59" spans="1:12" s="4" customFormat="1" ht="13" x14ac:dyDescent="0.3">
      <c r="A59" s="40"/>
      <c r="B59" s="41"/>
      <c r="C59" s="41"/>
      <c r="D59" s="41"/>
      <c r="E59" s="2" t="str">
        <f t="shared" si="0"/>
        <v/>
      </c>
      <c r="F59" s="2"/>
      <c r="G59" s="2"/>
      <c r="H59" s="42">
        <v>0</v>
      </c>
      <c r="I59" s="95">
        <v>0</v>
      </c>
      <c r="J59" s="79">
        <f t="shared" si="1"/>
        <v>0</v>
      </c>
      <c r="K59" s="97" t="str">
        <f t="shared" si="2"/>
        <v/>
      </c>
      <c r="L59" s="109"/>
    </row>
    <row r="60" spans="1:12" s="4" customFormat="1" ht="13" x14ac:dyDescent="0.3">
      <c r="A60" s="40"/>
      <c r="B60" s="41"/>
      <c r="C60" s="41"/>
      <c r="D60" s="41"/>
      <c r="E60" s="2" t="str">
        <f t="shared" si="0"/>
        <v/>
      </c>
      <c r="F60" s="2"/>
      <c r="G60" s="2"/>
      <c r="H60" s="42">
        <v>0</v>
      </c>
      <c r="I60" s="95">
        <v>0</v>
      </c>
      <c r="J60" s="79">
        <f t="shared" si="1"/>
        <v>0</v>
      </c>
      <c r="K60" s="97" t="str">
        <f t="shared" si="2"/>
        <v/>
      </c>
      <c r="L60" s="109"/>
    </row>
    <row r="61" spans="1:12" s="4" customFormat="1" ht="13" x14ac:dyDescent="0.3">
      <c r="A61" s="40"/>
      <c r="B61" s="41"/>
      <c r="C61" s="41"/>
      <c r="D61" s="41"/>
      <c r="E61" s="2" t="str">
        <f t="shared" si="0"/>
        <v/>
      </c>
      <c r="F61" s="2"/>
      <c r="G61" s="2"/>
      <c r="H61" s="42">
        <v>0</v>
      </c>
      <c r="I61" s="95">
        <v>0</v>
      </c>
      <c r="J61" s="79">
        <f t="shared" si="1"/>
        <v>0</v>
      </c>
      <c r="K61" s="97" t="str">
        <f t="shared" si="2"/>
        <v/>
      </c>
      <c r="L61" s="109"/>
    </row>
    <row r="62" spans="1:12" s="4" customFormat="1" ht="13" x14ac:dyDescent="0.3">
      <c r="A62" s="40"/>
      <c r="B62" s="41"/>
      <c r="C62" s="41"/>
      <c r="D62" s="41"/>
      <c r="E62" s="2" t="str">
        <f t="shared" si="0"/>
        <v/>
      </c>
      <c r="F62" s="2"/>
      <c r="G62" s="2"/>
      <c r="H62" s="42">
        <v>0</v>
      </c>
      <c r="I62" s="95">
        <v>0</v>
      </c>
      <c r="J62" s="79">
        <f t="shared" si="1"/>
        <v>0</v>
      </c>
      <c r="K62" s="97" t="str">
        <f t="shared" si="2"/>
        <v/>
      </c>
      <c r="L62" s="109"/>
    </row>
    <row r="63" spans="1:12" s="4" customFormat="1" ht="13" x14ac:dyDescent="0.3">
      <c r="A63" s="40"/>
      <c r="B63" s="41"/>
      <c r="C63" s="41"/>
      <c r="D63" s="41"/>
      <c r="E63" s="2" t="str">
        <f t="shared" si="0"/>
        <v/>
      </c>
      <c r="F63" s="2"/>
      <c r="G63" s="2"/>
      <c r="H63" s="42">
        <v>0</v>
      </c>
      <c r="I63" s="95">
        <v>0</v>
      </c>
      <c r="J63" s="79">
        <f t="shared" si="1"/>
        <v>0</v>
      </c>
      <c r="K63" s="97" t="str">
        <f t="shared" si="2"/>
        <v/>
      </c>
      <c r="L63" s="109"/>
    </row>
    <row r="64" spans="1:12" s="4" customFormat="1" ht="13" x14ac:dyDescent="0.3">
      <c r="A64" s="40"/>
      <c r="B64" s="41"/>
      <c r="C64" s="41"/>
      <c r="D64" s="41"/>
      <c r="E64" s="2" t="str">
        <f t="shared" si="0"/>
        <v/>
      </c>
      <c r="F64" s="2"/>
      <c r="G64" s="2"/>
      <c r="H64" s="42">
        <v>0</v>
      </c>
      <c r="I64" s="95">
        <v>0</v>
      </c>
      <c r="J64" s="79">
        <f t="shared" si="1"/>
        <v>0</v>
      </c>
      <c r="K64" s="97" t="str">
        <f t="shared" si="2"/>
        <v/>
      </c>
      <c r="L64" s="109"/>
    </row>
    <row r="65" spans="1:12" s="4" customFormat="1" ht="13" x14ac:dyDescent="0.3">
      <c r="A65" s="40"/>
      <c r="B65" s="41"/>
      <c r="C65" s="41"/>
      <c r="D65" s="41"/>
      <c r="E65" s="2" t="str">
        <f t="shared" si="0"/>
        <v/>
      </c>
      <c r="F65" s="2"/>
      <c r="G65" s="2"/>
      <c r="H65" s="42">
        <v>0</v>
      </c>
      <c r="I65" s="95">
        <v>0</v>
      </c>
      <c r="J65" s="79">
        <f t="shared" si="1"/>
        <v>0</v>
      </c>
      <c r="K65" s="97" t="str">
        <f t="shared" si="2"/>
        <v/>
      </c>
      <c r="L65" s="109"/>
    </row>
    <row r="66" spans="1:12" s="4" customFormat="1" ht="13" x14ac:dyDescent="0.3">
      <c r="A66" s="40"/>
      <c r="B66" s="41"/>
      <c r="C66" s="41"/>
      <c r="D66" s="41"/>
      <c r="E66" s="2" t="str">
        <f t="shared" si="0"/>
        <v/>
      </c>
      <c r="F66" s="2"/>
      <c r="G66" s="2"/>
      <c r="H66" s="42">
        <v>0</v>
      </c>
      <c r="I66" s="95">
        <v>0</v>
      </c>
      <c r="J66" s="79">
        <f t="shared" si="1"/>
        <v>0</v>
      </c>
      <c r="K66" s="97" t="str">
        <f t="shared" si="2"/>
        <v/>
      </c>
      <c r="L66" s="109"/>
    </row>
    <row r="67" spans="1:12" s="4" customFormat="1" ht="13" x14ac:dyDescent="0.3">
      <c r="A67" s="40"/>
      <c r="B67" s="41"/>
      <c r="C67" s="41"/>
      <c r="D67" s="41"/>
      <c r="E67" s="2" t="str">
        <f t="shared" si="0"/>
        <v/>
      </c>
      <c r="F67" s="2"/>
      <c r="G67" s="2"/>
      <c r="H67" s="42">
        <v>0</v>
      </c>
      <c r="I67" s="95">
        <v>0</v>
      </c>
      <c r="J67" s="79">
        <f t="shared" si="1"/>
        <v>0</v>
      </c>
      <c r="K67" s="97" t="str">
        <f t="shared" si="2"/>
        <v/>
      </c>
      <c r="L67" s="109"/>
    </row>
    <row r="68" spans="1:12" s="4" customFormat="1" ht="13" x14ac:dyDescent="0.3">
      <c r="A68" s="40"/>
      <c r="B68" s="41"/>
      <c r="C68" s="41"/>
      <c r="D68" s="41"/>
      <c r="E68" s="2" t="str">
        <f t="shared" si="0"/>
        <v/>
      </c>
      <c r="F68" s="2"/>
      <c r="G68" s="2"/>
      <c r="H68" s="42">
        <v>0</v>
      </c>
      <c r="I68" s="95">
        <v>0</v>
      </c>
      <c r="J68" s="79">
        <f t="shared" si="1"/>
        <v>0</v>
      </c>
      <c r="K68" s="97" t="str">
        <f t="shared" si="2"/>
        <v/>
      </c>
      <c r="L68" s="109"/>
    </row>
    <row r="69" spans="1:12" s="4" customFormat="1" ht="13" x14ac:dyDescent="0.3">
      <c r="A69" s="40"/>
      <c r="B69" s="41"/>
      <c r="C69" s="41"/>
      <c r="D69" s="41"/>
      <c r="E69" s="2" t="str">
        <f t="shared" si="0"/>
        <v/>
      </c>
      <c r="F69" s="2"/>
      <c r="G69" s="2"/>
      <c r="H69" s="42">
        <v>0</v>
      </c>
      <c r="I69" s="95">
        <v>0</v>
      </c>
      <c r="J69" s="79">
        <f t="shared" si="1"/>
        <v>0</v>
      </c>
      <c r="K69" s="97" t="str">
        <f t="shared" si="2"/>
        <v/>
      </c>
      <c r="L69" s="109"/>
    </row>
    <row r="70" spans="1:12" s="4" customFormat="1" ht="13" x14ac:dyDescent="0.3">
      <c r="A70" s="40"/>
      <c r="B70" s="41"/>
      <c r="C70" s="41"/>
      <c r="D70" s="41"/>
      <c r="E70" s="2" t="str">
        <f t="shared" si="0"/>
        <v/>
      </c>
      <c r="F70" s="2"/>
      <c r="G70" s="2"/>
      <c r="H70" s="42">
        <v>0</v>
      </c>
      <c r="I70" s="95">
        <v>0</v>
      </c>
      <c r="J70" s="79">
        <f t="shared" si="1"/>
        <v>0</v>
      </c>
      <c r="K70" s="97" t="str">
        <f t="shared" si="2"/>
        <v/>
      </c>
      <c r="L70" s="109"/>
    </row>
    <row r="71" spans="1:12" s="4" customFormat="1" ht="13" x14ac:dyDescent="0.3">
      <c r="A71" s="40"/>
      <c r="B71" s="41"/>
      <c r="C71" s="41"/>
      <c r="D71" s="41"/>
      <c r="E71" s="2" t="str">
        <f t="shared" si="0"/>
        <v/>
      </c>
      <c r="F71" s="2"/>
      <c r="G71" s="2"/>
      <c r="H71" s="42">
        <v>0</v>
      </c>
      <c r="I71" s="95">
        <v>0</v>
      </c>
      <c r="J71" s="79">
        <f t="shared" si="1"/>
        <v>0</v>
      </c>
      <c r="K71" s="97" t="str">
        <f t="shared" si="2"/>
        <v/>
      </c>
      <c r="L71" s="109"/>
    </row>
    <row r="72" spans="1:12" s="4" customFormat="1" ht="13" x14ac:dyDescent="0.3">
      <c r="A72" s="40"/>
      <c r="B72" s="41"/>
      <c r="C72" s="41"/>
      <c r="D72" s="41"/>
      <c r="E72" s="2" t="str">
        <f t="shared" si="0"/>
        <v/>
      </c>
      <c r="F72" s="2"/>
      <c r="G72" s="2"/>
      <c r="H72" s="42">
        <v>0</v>
      </c>
      <c r="I72" s="95">
        <v>0</v>
      </c>
      <c r="J72" s="79">
        <f t="shared" si="1"/>
        <v>0</v>
      </c>
      <c r="K72" s="97" t="str">
        <f t="shared" si="2"/>
        <v/>
      </c>
      <c r="L72" s="109"/>
    </row>
    <row r="73" spans="1:12" s="4" customFormat="1" ht="13" x14ac:dyDescent="0.3">
      <c r="A73" s="40"/>
      <c r="B73" s="41"/>
      <c r="C73" s="41"/>
      <c r="D73" s="41"/>
      <c r="E73" s="2" t="str">
        <f t="shared" si="0"/>
        <v/>
      </c>
      <c r="F73" s="2"/>
      <c r="G73" s="2"/>
      <c r="H73" s="42">
        <v>0</v>
      </c>
      <c r="I73" s="95">
        <v>0</v>
      </c>
      <c r="J73" s="79">
        <f t="shared" si="1"/>
        <v>0</v>
      </c>
      <c r="K73" s="97" t="str">
        <f t="shared" si="2"/>
        <v/>
      </c>
      <c r="L73" s="109"/>
    </row>
    <row r="74" spans="1:12" s="4" customFormat="1" ht="13" x14ac:dyDescent="0.3">
      <c r="A74" s="40"/>
      <c r="B74" s="41"/>
      <c r="C74" s="41"/>
      <c r="D74" s="41"/>
      <c r="E74" s="2" t="str">
        <f t="shared" si="0"/>
        <v/>
      </c>
      <c r="F74" s="2"/>
      <c r="G74" s="2"/>
      <c r="H74" s="42">
        <v>0</v>
      </c>
      <c r="I74" s="95">
        <v>0</v>
      </c>
      <c r="J74" s="79">
        <f t="shared" si="1"/>
        <v>0</v>
      </c>
      <c r="K74" s="97" t="str">
        <f t="shared" si="2"/>
        <v/>
      </c>
      <c r="L74" s="109"/>
    </row>
    <row r="75" spans="1:12" s="4" customFormat="1" ht="13" x14ac:dyDescent="0.3">
      <c r="A75" s="40"/>
      <c r="B75" s="41"/>
      <c r="C75" s="41"/>
      <c r="D75" s="41"/>
      <c r="E75" s="2" t="str">
        <f t="shared" si="0"/>
        <v/>
      </c>
      <c r="F75" s="2"/>
      <c r="G75" s="2"/>
      <c r="H75" s="42">
        <v>0</v>
      </c>
      <c r="I75" s="95">
        <v>0</v>
      </c>
      <c r="J75" s="79">
        <f t="shared" si="1"/>
        <v>0</v>
      </c>
      <c r="K75" s="97" t="str">
        <f t="shared" si="2"/>
        <v/>
      </c>
      <c r="L75" s="109"/>
    </row>
    <row r="76" spans="1:12" s="4" customFormat="1" ht="13" x14ac:dyDescent="0.3">
      <c r="A76" s="40"/>
      <c r="B76" s="41"/>
      <c r="C76" s="41"/>
      <c r="D76" s="41"/>
      <c r="E76" s="2" t="str">
        <f t="shared" ref="E76:E103" si="3">IF(B76="","",($F$9-$E$9+1-$G$9)*(B76)+((C76-G76)*D76))</f>
        <v/>
      </c>
      <c r="F76" s="2"/>
      <c r="G76" s="2"/>
      <c r="H76" s="42">
        <v>0</v>
      </c>
      <c r="I76" s="95">
        <v>0</v>
      </c>
      <c r="J76" s="79">
        <f t="shared" ref="J76:J103" si="4">IF((I76&lt;&gt;""),(I76-(H76*B76*C76)*$K$9))</f>
        <v>0</v>
      </c>
      <c r="K76" s="97" t="str">
        <f t="shared" ref="K76:K103" si="5">IF(E76&lt;&gt;"",(E76*$K$9)+J76-I76,"")</f>
        <v/>
      </c>
      <c r="L76" s="109"/>
    </row>
    <row r="77" spans="1:12" s="4" customFormat="1" ht="13" x14ac:dyDescent="0.3">
      <c r="A77" s="40"/>
      <c r="B77" s="41"/>
      <c r="C77" s="41"/>
      <c r="D77" s="41"/>
      <c r="E77" s="2" t="str">
        <f t="shared" si="3"/>
        <v/>
      </c>
      <c r="F77" s="2"/>
      <c r="G77" s="2"/>
      <c r="H77" s="42">
        <v>0</v>
      </c>
      <c r="I77" s="95">
        <v>0</v>
      </c>
      <c r="J77" s="79">
        <f t="shared" si="4"/>
        <v>0</v>
      </c>
      <c r="K77" s="97" t="str">
        <f t="shared" si="5"/>
        <v/>
      </c>
      <c r="L77" s="109"/>
    </row>
    <row r="78" spans="1:12" s="4" customFormat="1" ht="13" x14ac:dyDescent="0.3">
      <c r="A78" s="40"/>
      <c r="B78" s="41"/>
      <c r="C78" s="41"/>
      <c r="D78" s="41"/>
      <c r="E78" s="2" t="str">
        <f t="shared" si="3"/>
        <v/>
      </c>
      <c r="F78" s="2"/>
      <c r="G78" s="2"/>
      <c r="H78" s="42">
        <v>0</v>
      </c>
      <c r="I78" s="95">
        <v>0</v>
      </c>
      <c r="J78" s="79">
        <f t="shared" si="4"/>
        <v>0</v>
      </c>
      <c r="K78" s="97" t="str">
        <f t="shared" si="5"/>
        <v/>
      </c>
      <c r="L78" s="109"/>
    </row>
    <row r="79" spans="1:12" s="4" customFormat="1" ht="13" x14ac:dyDescent="0.3">
      <c r="A79" s="40"/>
      <c r="B79" s="41"/>
      <c r="C79" s="41"/>
      <c r="D79" s="41"/>
      <c r="E79" s="2" t="str">
        <f t="shared" si="3"/>
        <v/>
      </c>
      <c r="F79" s="2"/>
      <c r="G79" s="2"/>
      <c r="H79" s="42">
        <v>0</v>
      </c>
      <c r="I79" s="95">
        <v>0</v>
      </c>
      <c r="J79" s="79">
        <f t="shared" si="4"/>
        <v>0</v>
      </c>
      <c r="K79" s="97" t="str">
        <f t="shared" si="5"/>
        <v/>
      </c>
      <c r="L79" s="109"/>
    </row>
    <row r="80" spans="1:12" s="4" customFormat="1" ht="13" x14ac:dyDescent="0.3">
      <c r="A80" s="40"/>
      <c r="B80" s="41"/>
      <c r="C80" s="41"/>
      <c r="D80" s="41"/>
      <c r="E80" s="2" t="str">
        <f t="shared" si="3"/>
        <v/>
      </c>
      <c r="F80" s="2"/>
      <c r="G80" s="2"/>
      <c r="H80" s="42">
        <v>0</v>
      </c>
      <c r="I80" s="95">
        <v>0</v>
      </c>
      <c r="J80" s="79">
        <f t="shared" si="4"/>
        <v>0</v>
      </c>
      <c r="K80" s="97" t="str">
        <f t="shared" si="5"/>
        <v/>
      </c>
      <c r="L80" s="109"/>
    </row>
    <row r="81" spans="1:12" s="4" customFormat="1" ht="13" x14ac:dyDescent="0.3">
      <c r="A81" s="40"/>
      <c r="B81" s="41"/>
      <c r="C81" s="41"/>
      <c r="D81" s="41"/>
      <c r="E81" s="2" t="str">
        <f t="shared" si="3"/>
        <v/>
      </c>
      <c r="F81" s="2"/>
      <c r="G81" s="2"/>
      <c r="H81" s="42">
        <v>0</v>
      </c>
      <c r="I81" s="95">
        <v>0</v>
      </c>
      <c r="J81" s="79">
        <f t="shared" si="4"/>
        <v>0</v>
      </c>
      <c r="K81" s="97" t="str">
        <f t="shared" si="5"/>
        <v/>
      </c>
      <c r="L81" s="109"/>
    </row>
    <row r="82" spans="1:12" s="4" customFormat="1" ht="13" x14ac:dyDescent="0.3">
      <c r="A82" s="40"/>
      <c r="B82" s="41"/>
      <c r="C82" s="41"/>
      <c r="D82" s="41"/>
      <c r="E82" s="2" t="str">
        <f t="shared" si="3"/>
        <v/>
      </c>
      <c r="F82" s="2"/>
      <c r="G82" s="2"/>
      <c r="H82" s="42">
        <v>0</v>
      </c>
      <c r="I82" s="95">
        <v>0</v>
      </c>
      <c r="J82" s="79">
        <f t="shared" si="4"/>
        <v>0</v>
      </c>
      <c r="K82" s="97" t="str">
        <f t="shared" si="5"/>
        <v/>
      </c>
      <c r="L82" s="109"/>
    </row>
    <row r="83" spans="1:12" s="4" customFormat="1" ht="13" x14ac:dyDescent="0.3">
      <c r="A83" s="40"/>
      <c r="B83" s="41"/>
      <c r="C83" s="41"/>
      <c r="D83" s="41"/>
      <c r="E83" s="2" t="str">
        <f t="shared" si="3"/>
        <v/>
      </c>
      <c r="F83" s="2"/>
      <c r="G83" s="2"/>
      <c r="H83" s="42">
        <v>0</v>
      </c>
      <c r="I83" s="95">
        <v>0</v>
      </c>
      <c r="J83" s="79">
        <f t="shared" si="4"/>
        <v>0</v>
      </c>
      <c r="K83" s="97" t="str">
        <f t="shared" si="5"/>
        <v/>
      </c>
      <c r="L83" s="109"/>
    </row>
    <row r="84" spans="1:12" s="4" customFormat="1" ht="13" x14ac:dyDescent="0.3">
      <c r="A84" s="40"/>
      <c r="B84" s="41"/>
      <c r="C84" s="41"/>
      <c r="D84" s="41"/>
      <c r="E84" s="2" t="str">
        <f t="shared" si="3"/>
        <v/>
      </c>
      <c r="F84" s="2"/>
      <c r="G84" s="2"/>
      <c r="H84" s="42">
        <v>0</v>
      </c>
      <c r="I84" s="95">
        <v>0</v>
      </c>
      <c r="J84" s="79">
        <f t="shared" si="4"/>
        <v>0</v>
      </c>
      <c r="K84" s="97" t="str">
        <f t="shared" si="5"/>
        <v/>
      </c>
      <c r="L84" s="109"/>
    </row>
    <row r="85" spans="1:12" s="4" customFormat="1" ht="13" x14ac:dyDescent="0.3">
      <c r="A85" s="40"/>
      <c r="B85" s="41"/>
      <c r="C85" s="41"/>
      <c r="D85" s="41"/>
      <c r="E85" s="2" t="str">
        <f t="shared" si="3"/>
        <v/>
      </c>
      <c r="F85" s="2"/>
      <c r="G85" s="2"/>
      <c r="H85" s="42">
        <v>0</v>
      </c>
      <c r="I85" s="95">
        <v>0</v>
      </c>
      <c r="J85" s="79">
        <f t="shared" si="4"/>
        <v>0</v>
      </c>
      <c r="K85" s="97" t="str">
        <f t="shared" si="5"/>
        <v/>
      </c>
      <c r="L85" s="109"/>
    </row>
    <row r="86" spans="1:12" s="4" customFormat="1" ht="13" x14ac:dyDescent="0.3">
      <c r="A86" s="40"/>
      <c r="B86" s="41"/>
      <c r="C86" s="41"/>
      <c r="D86" s="41"/>
      <c r="E86" s="2" t="str">
        <f t="shared" si="3"/>
        <v/>
      </c>
      <c r="F86" s="2"/>
      <c r="G86" s="2"/>
      <c r="H86" s="42">
        <v>0</v>
      </c>
      <c r="I86" s="95">
        <v>0</v>
      </c>
      <c r="J86" s="79">
        <f t="shared" si="4"/>
        <v>0</v>
      </c>
      <c r="K86" s="97" t="str">
        <f t="shared" si="5"/>
        <v/>
      </c>
      <c r="L86" s="109"/>
    </row>
    <row r="87" spans="1:12" s="4" customFormat="1" ht="13" x14ac:dyDescent="0.3">
      <c r="A87" s="40"/>
      <c r="B87" s="41"/>
      <c r="C87" s="41"/>
      <c r="D87" s="41"/>
      <c r="E87" s="2" t="str">
        <f t="shared" si="3"/>
        <v/>
      </c>
      <c r="F87" s="2"/>
      <c r="G87" s="2"/>
      <c r="H87" s="42">
        <v>0</v>
      </c>
      <c r="I87" s="95">
        <v>0</v>
      </c>
      <c r="J87" s="79">
        <f t="shared" si="4"/>
        <v>0</v>
      </c>
      <c r="K87" s="97" t="str">
        <f t="shared" si="5"/>
        <v/>
      </c>
      <c r="L87" s="109"/>
    </row>
    <row r="88" spans="1:12" s="4" customFormat="1" ht="13" x14ac:dyDescent="0.3">
      <c r="A88" s="40"/>
      <c r="B88" s="41"/>
      <c r="C88" s="41"/>
      <c r="D88" s="41"/>
      <c r="E88" s="2" t="str">
        <f t="shared" si="3"/>
        <v/>
      </c>
      <c r="F88" s="2"/>
      <c r="G88" s="2"/>
      <c r="H88" s="42">
        <v>0</v>
      </c>
      <c r="I88" s="95">
        <v>0</v>
      </c>
      <c r="J88" s="79">
        <f t="shared" si="4"/>
        <v>0</v>
      </c>
      <c r="K88" s="97" t="str">
        <f t="shared" si="5"/>
        <v/>
      </c>
      <c r="L88" s="109"/>
    </row>
    <row r="89" spans="1:12" s="4" customFormat="1" ht="13" x14ac:dyDescent="0.3">
      <c r="A89" s="40"/>
      <c r="B89" s="41"/>
      <c r="C89" s="41"/>
      <c r="D89" s="41"/>
      <c r="E89" s="2" t="str">
        <f t="shared" si="3"/>
        <v/>
      </c>
      <c r="F89" s="2"/>
      <c r="G89" s="2"/>
      <c r="H89" s="42">
        <v>0</v>
      </c>
      <c r="I89" s="95">
        <v>0</v>
      </c>
      <c r="J89" s="79">
        <f t="shared" si="4"/>
        <v>0</v>
      </c>
      <c r="K89" s="97" t="str">
        <f t="shared" si="5"/>
        <v/>
      </c>
      <c r="L89" s="109"/>
    </row>
    <row r="90" spans="1:12" s="4" customFormat="1" ht="13" x14ac:dyDescent="0.3">
      <c r="A90" s="40"/>
      <c r="B90" s="41"/>
      <c r="C90" s="41"/>
      <c r="D90" s="41"/>
      <c r="E90" s="2" t="str">
        <f t="shared" si="3"/>
        <v/>
      </c>
      <c r="F90" s="2"/>
      <c r="G90" s="2"/>
      <c r="H90" s="42">
        <v>0</v>
      </c>
      <c r="I90" s="95">
        <v>0</v>
      </c>
      <c r="J90" s="79">
        <f t="shared" si="4"/>
        <v>0</v>
      </c>
      <c r="K90" s="97" t="str">
        <f t="shared" si="5"/>
        <v/>
      </c>
      <c r="L90" s="109"/>
    </row>
    <row r="91" spans="1:12" s="4" customFormat="1" ht="13" x14ac:dyDescent="0.3">
      <c r="A91" s="40"/>
      <c r="B91" s="41"/>
      <c r="C91" s="41"/>
      <c r="D91" s="41"/>
      <c r="E91" s="2" t="str">
        <f t="shared" si="3"/>
        <v/>
      </c>
      <c r="F91" s="2"/>
      <c r="G91" s="2"/>
      <c r="H91" s="42">
        <v>0</v>
      </c>
      <c r="I91" s="95">
        <v>0</v>
      </c>
      <c r="J91" s="79">
        <f t="shared" si="4"/>
        <v>0</v>
      </c>
      <c r="K91" s="97" t="str">
        <f t="shared" si="5"/>
        <v/>
      </c>
      <c r="L91" s="109"/>
    </row>
    <row r="92" spans="1:12" s="4" customFormat="1" ht="13" x14ac:dyDescent="0.3">
      <c r="A92" s="40"/>
      <c r="B92" s="41"/>
      <c r="C92" s="41"/>
      <c r="D92" s="41"/>
      <c r="E92" s="2" t="str">
        <f t="shared" si="3"/>
        <v/>
      </c>
      <c r="F92" s="2"/>
      <c r="G92" s="2"/>
      <c r="H92" s="42">
        <v>0</v>
      </c>
      <c r="I92" s="95">
        <v>0</v>
      </c>
      <c r="J92" s="79">
        <f t="shared" si="4"/>
        <v>0</v>
      </c>
      <c r="K92" s="97" t="str">
        <f t="shared" si="5"/>
        <v/>
      </c>
      <c r="L92" s="109"/>
    </row>
    <row r="93" spans="1:12" s="4" customFormat="1" ht="13" x14ac:dyDescent="0.3">
      <c r="A93" s="40"/>
      <c r="B93" s="41"/>
      <c r="C93" s="41"/>
      <c r="D93" s="41"/>
      <c r="E93" s="2" t="str">
        <f t="shared" si="3"/>
        <v/>
      </c>
      <c r="F93" s="2"/>
      <c r="G93" s="2"/>
      <c r="H93" s="42">
        <v>0</v>
      </c>
      <c r="I93" s="95">
        <v>0</v>
      </c>
      <c r="J93" s="79">
        <f t="shared" si="4"/>
        <v>0</v>
      </c>
      <c r="K93" s="97" t="str">
        <f t="shared" si="5"/>
        <v/>
      </c>
      <c r="L93" s="109"/>
    </row>
    <row r="94" spans="1:12" s="4" customFormat="1" ht="13" x14ac:dyDescent="0.3">
      <c r="A94" s="40"/>
      <c r="B94" s="41"/>
      <c r="C94" s="41"/>
      <c r="D94" s="41"/>
      <c r="E94" s="2" t="str">
        <f t="shared" si="3"/>
        <v/>
      </c>
      <c r="F94" s="2"/>
      <c r="G94" s="2"/>
      <c r="H94" s="42">
        <v>0</v>
      </c>
      <c r="I94" s="95">
        <v>0</v>
      </c>
      <c r="J94" s="79">
        <f t="shared" si="4"/>
        <v>0</v>
      </c>
      <c r="K94" s="97" t="str">
        <f t="shared" si="5"/>
        <v/>
      </c>
      <c r="L94" s="109"/>
    </row>
    <row r="95" spans="1:12" s="4" customFormat="1" ht="13" x14ac:dyDescent="0.3">
      <c r="A95" s="40"/>
      <c r="B95" s="41"/>
      <c r="C95" s="41"/>
      <c r="D95" s="41"/>
      <c r="E95" s="2" t="str">
        <f t="shared" si="3"/>
        <v/>
      </c>
      <c r="F95" s="2"/>
      <c r="G95" s="2"/>
      <c r="H95" s="42">
        <v>0</v>
      </c>
      <c r="I95" s="95">
        <v>0</v>
      </c>
      <c r="J95" s="79">
        <f t="shared" si="4"/>
        <v>0</v>
      </c>
      <c r="K95" s="97" t="str">
        <f t="shared" si="5"/>
        <v/>
      </c>
      <c r="L95" s="109"/>
    </row>
    <row r="96" spans="1:12" s="4" customFormat="1" ht="13" x14ac:dyDescent="0.3">
      <c r="A96" s="40"/>
      <c r="B96" s="41"/>
      <c r="C96" s="41"/>
      <c r="D96" s="41"/>
      <c r="E96" s="2" t="str">
        <f t="shared" si="3"/>
        <v/>
      </c>
      <c r="F96" s="2"/>
      <c r="G96" s="2"/>
      <c r="H96" s="42">
        <v>0</v>
      </c>
      <c r="I96" s="95">
        <v>0</v>
      </c>
      <c r="J96" s="79">
        <f t="shared" si="4"/>
        <v>0</v>
      </c>
      <c r="K96" s="97" t="str">
        <f t="shared" si="5"/>
        <v/>
      </c>
      <c r="L96" s="109"/>
    </row>
    <row r="97" spans="1:12" s="4" customFormat="1" ht="13" x14ac:dyDescent="0.3">
      <c r="A97" s="40"/>
      <c r="B97" s="41"/>
      <c r="C97" s="41"/>
      <c r="D97" s="41"/>
      <c r="E97" s="2" t="str">
        <f t="shared" si="3"/>
        <v/>
      </c>
      <c r="F97" s="2"/>
      <c r="G97" s="2"/>
      <c r="H97" s="42">
        <v>0</v>
      </c>
      <c r="I97" s="95">
        <v>0</v>
      </c>
      <c r="J97" s="79">
        <f t="shared" si="4"/>
        <v>0</v>
      </c>
      <c r="K97" s="97" t="str">
        <f t="shared" si="5"/>
        <v/>
      </c>
      <c r="L97" s="109"/>
    </row>
    <row r="98" spans="1:12" s="4" customFormat="1" ht="13" x14ac:dyDescent="0.3">
      <c r="A98" s="40"/>
      <c r="B98" s="41"/>
      <c r="C98" s="41"/>
      <c r="D98" s="41"/>
      <c r="E98" s="2" t="str">
        <f t="shared" si="3"/>
        <v/>
      </c>
      <c r="F98" s="2"/>
      <c r="G98" s="2"/>
      <c r="H98" s="42">
        <v>0</v>
      </c>
      <c r="I98" s="95">
        <v>0</v>
      </c>
      <c r="J98" s="79">
        <f t="shared" si="4"/>
        <v>0</v>
      </c>
      <c r="K98" s="97" t="str">
        <f t="shared" si="5"/>
        <v/>
      </c>
      <c r="L98" s="109"/>
    </row>
    <row r="99" spans="1:12" s="4" customFormat="1" ht="13" x14ac:dyDescent="0.3">
      <c r="A99" s="40"/>
      <c r="B99" s="41"/>
      <c r="C99" s="41"/>
      <c r="D99" s="41"/>
      <c r="E99" s="2" t="str">
        <f t="shared" si="3"/>
        <v/>
      </c>
      <c r="F99" s="2"/>
      <c r="G99" s="2"/>
      <c r="H99" s="42">
        <v>0</v>
      </c>
      <c r="I99" s="95">
        <v>0</v>
      </c>
      <c r="J99" s="79">
        <f t="shared" si="4"/>
        <v>0</v>
      </c>
      <c r="K99" s="97" t="str">
        <f t="shared" si="5"/>
        <v/>
      </c>
      <c r="L99" s="109"/>
    </row>
    <row r="100" spans="1:12" s="4" customFormat="1" ht="13" x14ac:dyDescent="0.3">
      <c r="A100" s="40"/>
      <c r="B100" s="41"/>
      <c r="C100" s="41"/>
      <c r="D100" s="41"/>
      <c r="E100" s="2" t="str">
        <f t="shared" si="3"/>
        <v/>
      </c>
      <c r="F100" s="2"/>
      <c r="G100" s="2"/>
      <c r="H100" s="42">
        <v>0</v>
      </c>
      <c r="I100" s="95">
        <v>0</v>
      </c>
      <c r="J100" s="79">
        <f t="shared" si="4"/>
        <v>0</v>
      </c>
      <c r="K100" s="97" t="str">
        <f t="shared" si="5"/>
        <v/>
      </c>
      <c r="L100" s="109"/>
    </row>
    <row r="101" spans="1:12" s="4" customFormat="1" ht="13" x14ac:dyDescent="0.3">
      <c r="A101" s="40"/>
      <c r="B101" s="41"/>
      <c r="C101" s="41"/>
      <c r="D101" s="41"/>
      <c r="E101" s="2" t="str">
        <f t="shared" si="3"/>
        <v/>
      </c>
      <c r="F101" s="2"/>
      <c r="G101" s="2"/>
      <c r="H101" s="42">
        <v>0</v>
      </c>
      <c r="I101" s="95">
        <v>0</v>
      </c>
      <c r="J101" s="79">
        <f t="shared" si="4"/>
        <v>0</v>
      </c>
      <c r="K101" s="97" t="str">
        <f t="shared" si="5"/>
        <v/>
      </c>
      <c r="L101" s="109"/>
    </row>
    <row r="102" spans="1:12" s="4" customFormat="1" ht="13" x14ac:dyDescent="0.3">
      <c r="A102" s="40"/>
      <c r="B102" s="41"/>
      <c r="C102" s="41"/>
      <c r="D102" s="41"/>
      <c r="E102" s="2" t="str">
        <f t="shared" si="3"/>
        <v/>
      </c>
      <c r="F102" s="2"/>
      <c r="G102" s="2"/>
      <c r="H102" s="42">
        <v>0</v>
      </c>
      <c r="I102" s="95">
        <v>0</v>
      </c>
      <c r="J102" s="79">
        <f t="shared" si="4"/>
        <v>0</v>
      </c>
      <c r="K102" s="97" t="str">
        <f t="shared" si="5"/>
        <v/>
      </c>
      <c r="L102" s="109"/>
    </row>
    <row r="103" spans="1:12" s="4" customFormat="1" ht="13" x14ac:dyDescent="0.3">
      <c r="A103" s="41"/>
      <c r="B103" s="41"/>
      <c r="C103" s="41"/>
      <c r="D103" s="41"/>
      <c r="E103" s="2" t="str">
        <f t="shared" si="3"/>
        <v/>
      </c>
      <c r="F103" s="2"/>
      <c r="G103" s="2"/>
      <c r="H103" s="43">
        <v>0</v>
      </c>
      <c r="I103" s="96">
        <v>0</v>
      </c>
      <c r="J103" s="79">
        <f t="shared" si="4"/>
        <v>0</v>
      </c>
      <c r="K103" s="97" t="str">
        <f t="shared" si="5"/>
        <v/>
      </c>
      <c r="L103" s="109"/>
    </row>
    <row r="104" spans="1:12" s="4" customFormat="1" x14ac:dyDescent="0.25">
      <c r="A104" s="2"/>
      <c r="B104" s="2"/>
      <c r="C104" s="2"/>
      <c r="D104" s="2"/>
      <c r="E104" s="2"/>
      <c r="F104" s="2"/>
      <c r="G104" s="2"/>
      <c r="H104" s="2"/>
      <c r="I104" s="80"/>
      <c r="J104" s="80"/>
      <c r="K104" s="2"/>
      <c r="L104" s="2"/>
    </row>
    <row r="105" spans="1:12" s="4" customFormat="1" x14ac:dyDescent="0.25">
      <c r="A105" s="2"/>
      <c r="B105" s="2"/>
      <c r="C105" s="2"/>
      <c r="D105" s="2"/>
      <c r="E105" s="2"/>
      <c r="F105" s="2"/>
      <c r="G105" s="2"/>
      <c r="H105" s="2"/>
      <c r="I105" s="80"/>
      <c r="J105" s="80"/>
      <c r="K105" s="2"/>
      <c r="L105" s="2"/>
    </row>
    <row r="106" spans="1:12" s="4" customFormat="1" x14ac:dyDescent="0.25">
      <c r="A106" s="2"/>
      <c r="B106" s="2"/>
      <c r="C106" s="2"/>
      <c r="D106" s="2"/>
      <c r="E106" s="2"/>
      <c r="F106" s="2"/>
      <c r="G106" s="2"/>
      <c r="H106" s="2"/>
      <c r="I106" s="80"/>
      <c r="J106" s="80"/>
      <c r="K106" s="2"/>
      <c r="L106" s="2"/>
    </row>
    <row r="107" spans="1:12" s="4" customFormat="1" x14ac:dyDescent="0.25">
      <c r="A107" s="2"/>
      <c r="B107" s="2"/>
      <c r="C107" s="2"/>
      <c r="D107" s="2"/>
      <c r="E107" s="2"/>
      <c r="F107" s="2"/>
      <c r="G107" s="2"/>
      <c r="H107" s="2"/>
      <c r="I107" s="80"/>
      <c r="J107" s="80"/>
      <c r="K107" s="2"/>
      <c r="L107" s="2"/>
    </row>
    <row r="108" spans="1:12" s="4" customFormat="1" x14ac:dyDescent="0.25">
      <c r="A108" s="2"/>
      <c r="B108" s="2"/>
      <c r="C108" s="2"/>
      <c r="D108" s="2"/>
      <c r="E108" s="2"/>
      <c r="F108" s="2"/>
      <c r="G108" s="2"/>
      <c r="H108" s="2"/>
      <c r="I108" s="80"/>
      <c r="J108" s="80"/>
      <c r="K108" s="2"/>
      <c r="L108" s="2"/>
    </row>
    <row r="109" spans="1:12" s="4" customFormat="1" x14ac:dyDescent="0.25">
      <c r="A109" s="2"/>
      <c r="B109" s="2"/>
      <c r="C109" s="2"/>
      <c r="D109" s="2"/>
      <c r="E109" s="2"/>
      <c r="F109" s="2"/>
      <c r="G109" s="2"/>
      <c r="H109" s="2"/>
      <c r="I109" s="80"/>
      <c r="J109" s="80"/>
      <c r="K109" s="2"/>
      <c r="L109" s="2"/>
    </row>
    <row r="110" spans="1:12" s="4" customFormat="1" x14ac:dyDescent="0.25">
      <c r="A110" s="2"/>
      <c r="B110" s="2"/>
      <c r="C110" s="2"/>
      <c r="D110" s="2"/>
      <c r="E110" s="2"/>
      <c r="F110" s="2"/>
      <c r="G110" s="2"/>
      <c r="H110" s="2"/>
      <c r="I110" s="80"/>
      <c r="J110" s="80"/>
      <c r="K110" s="2"/>
      <c r="L110" s="2"/>
    </row>
    <row r="111" spans="1:12" s="4" customFormat="1" x14ac:dyDescent="0.25">
      <c r="A111" s="2"/>
      <c r="B111" s="2"/>
      <c r="C111" s="2"/>
      <c r="D111" s="2"/>
      <c r="E111" s="2"/>
      <c r="F111" s="2"/>
      <c r="G111" s="2"/>
      <c r="H111" s="2"/>
      <c r="I111" s="80"/>
      <c r="J111" s="80"/>
      <c r="K111" s="2"/>
      <c r="L111" s="2"/>
    </row>
    <row r="112" spans="1:12" s="4" customFormat="1" x14ac:dyDescent="0.25">
      <c r="A112" s="2"/>
      <c r="B112" s="2"/>
      <c r="C112" s="2"/>
      <c r="D112" s="2"/>
      <c r="E112" s="2"/>
      <c r="F112" s="2"/>
      <c r="G112" s="2"/>
      <c r="H112" s="2"/>
      <c r="I112" s="80"/>
      <c r="J112" s="80"/>
      <c r="K112" s="2"/>
      <c r="L112" s="2"/>
    </row>
    <row r="113" spans="1:12" s="4" customFormat="1" x14ac:dyDescent="0.25">
      <c r="A113" s="2"/>
      <c r="B113" s="2"/>
      <c r="C113" s="2"/>
      <c r="D113" s="2"/>
      <c r="E113" s="2"/>
      <c r="F113" s="2"/>
      <c r="G113" s="2"/>
      <c r="H113" s="2"/>
      <c r="I113" s="80"/>
      <c r="J113" s="80"/>
      <c r="K113" s="2"/>
      <c r="L113" s="2"/>
    </row>
    <row r="114" spans="1:12" s="4" customFormat="1" x14ac:dyDescent="0.25">
      <c r="A114" s="2"/>
      <c r="B114" s="2"/>
      <c r="C114" s="2"/>
      <c r="D114" s="2"/>
      <c r="E114" s="2"/>
      <c r="F114" s="2"/>
      <c r="G114" s="2"/>
      <c r="H114" s="2"/>
      <c r="I114" s="80"/>
      <c r="J114" s="80"/>
      <c r="K114" s="2"/>
      <c r="L114" s="2"/>
    </row>
    <row r="115" spans="1:12" s="4" customFormat="1" x14ac:dyDescent="0.25">
      <c r="A115" s="2"/>
      <c r="B115" s="2"/>
      <c r="C115" s="2"/>
      <c r="D115" s="2"/>
      <c r="E115" s="2"/>
      <c r="F115" s="2"/>
      <c r="G115" s="2"/>
      <c r="H115" s="2"/>
      <c r="I115" s="80"/>
      <c r="J115" s="80"/>
      <c r="K115" s="2"/>
      <c r="L115" s="2"/>
    </row>
    <row r="116" spans="1:12" s="4" customFormat="1" x14ac:dyDescent="0.25">
      <c r="A116" s="2"/>
      <c r="B116" s="2"/>
      <c r="C116" s="2"/>
      <c r="D116" s="2"/>
      <c r="E116" s="2"/>
      <c r="F116" s="2"/>
      <c r="G116" s="2"/>
      <c r="H116" s="2"/>
      <c r="I116" s="80"/>
      <c r="J116" s="80"/>
      <c r="K116" s="2"/>
      <c r="L116" s="2"/>
    </row>
    <row r="117" spans="1:12" s="4" customFormat="1" x14ac:dyDescent="0.25">
      <c r="A117" s="2"/>
      <c r="B117" s="2"/>
      <c r="C117" s="2"/>
      <c r="D117" s="2"/>
      <c r="E117" s="2"/>
      <c r="F117" s="2"/>
      <c r="G117" s="2"/>
      <c r="H117" s="2"/>
      <c r="I117" s="80"/>
      <c r="J117" s="80"/>
      <c r="K117" s="2"/>
      <c r="L117" s="2"/>
    </row>
    <row r="118" spans="1:12" s="4" customFormat="1" x14ac:dyDescent="0.25">
      <c r="A118" s="2"/>
      <c r="B118" s="2"/>
      <c r="C118" s="2"/>
      <c r="D118" s="2"/>
      <c r="E118" s="2"/>
      <c r="F118" s="2"/>
      <c r="G118" s="2"/>
      <c r="H118" s="2"/>
      <c r="I118" s="80"/>
      <c r="J118" s="80"/>
      <c r="K118" s="2"/>
      <c r="L118" s="2"/>
    </row>
    <row r="119" spans="1:12" s="4" customFormat="1" x14ac:dyDescent="0.25">
      <c r="A119" s="2"/>
      <c r="B119" s="2"/>
      <c r="C119" s="2"/>
      <c r="D119" s="2"/>
      <c r="E119" s="2"/>
      <c r="F119" s="2"/>
      <c r="G119" s="2"/>
      <c r="H119" s="2"/>
      <c r="I119" s="80"/>
      <c r="J119" s="80"/>
      <c r="K119" s="2"/>
      <c r="L119" s="2"/>
    </row>
    <row r="120" spans="1:12" s="4" customFormat="1" x14ac:dyDescent="0.25">
      <c r="A120" s="2"/>
      <c r="B120" s="2"/>
      <c r="C120" s="2"/>
      <c r="D120" s="2"/>
      <c r="E120" s="2"/>
      <c r="F120" s="2"/>
      <c r="G120" s="2"/>
      <c r="H120" s="2"/>
      <c r="I120" s="80"/>
      <c r="J120" s="80"/>
      <c r="K120" s="2"/>
      <c r="L120" s="2"/>
    </row>
    <row r="121" spans="1:12" s="4" customFormat="1" x14ac:dyDescent="0.25">
      <c r="A121" s="2"/>
      <c r="B121" s="2"/>
      <c r="C121" s="2"/>
      <c r="D121" s="2"/>
      <c r="E121" s="2"/>
      <c r="F121" s="2"/>
      <c r="G121" s="2"/>
      <c r="H121" s="2"/>
      <c r="I121" s="80"/>
      <c r="J121" s="80"/>
      <c r="K121" s="2"/>
      <c r="L121" s="2"/>
    </row>
    <row r="122" spans="1:12" s="4" customFormat="1" x14ac:dyDescent="0.25">
      <c r="A122" s="2"/>
      <c r="B122" s="2"/>
      <c r="C122" s="2"/>
      <c r="D122" s="2"/>
      <c r="E122" s="2"/>
      <c r="F122" s="2"/>
      <c r="G122" s="2"/>
      <c r="H122" s="2"/>
      <c r="I122" s="80"/>
      <c r="J122" s="80"/>
      <c r="K122" s="2"/>
      <c r="L122" s="2"/>
    </row>
    <row r="123" spans="1:12" s="4" customFormat="1" x14ac:dyDescent="0.25">
      <c r="A123" s="2"/>
      <c r="B123" s="2"/>
      <c r="C123" s="2"/>
      <c r="D123" s="2"/>
      <c r="E123" s="2"/>
      <c r="F123" s="2"/>
      <c r="G123" s="2"/>
      <c r="H123" s="2"/>
      <c r="I123" s="80"/>
      <c r="J123" s="80"/>
      <c r="K123" s="2"/>
      <c r="L123" s="2"/>
    </row>
    <row r="124" spans="1:12" s="4" customFormat="1" x14ac:dyDescent="0.25">
      <c r="A124" s="2"/>
      <c r="B124" s="2"/>
      <c r="C124" s="2"/>
      <c r="D124" s="2"/>
      <c r="E124" s="2"/>
      <c r="F124" s="2"/>
      <c r="G124" s="2"/>
      <c r="H124" s="2"/>
      <c r="I124" s="80"/>
      <c r="J124" s="80"/>
      <c r="K124" s="2"/>
      <c r="L124" s="2"/>
    </row>
    <row r="125" spans="1:12" s="4" customFormat="1" x14ac:dyDescent="0.25">
      <c r="A125" s="2"/>
      <c r="B125" s="2"/>
      <c r="C125" s="2"/>
      <c r="D125" s="2"/>
      <c r="E125" s="2"/>
      <c r="F125" s="2"/>
      <c r="G125" s="2"/>
      <c r="H125" s="2"/>
      <c r="I125" s="80"/>
      <c r="J125" s="80"/>
      <c r="K125" s="2"/>
      <c r="L125" s="2"/>
    </row>
    <row r="126" spans="1:12" s="4" customFormat="1" x14ac:dyDescent="0.25">
      <c r="A126" s="2"/>
      <c r="B126" s="2"/>
      <c r="C126" s="2"/>
      <c r="D126" s="2"/>
      <c r="E126" s="2"/>
      <c r="F126" s="2"/>
      <c r="G126" s="2"/>
      <c r="H126" s="2"/>
      <c r="I126" s="80"/>
      <c r="J126" s="80"/>
      <c r="K126" s="2"/>
      <c r="L126" s="2"/>
    </row>
    <row r="127" spans="1:12" s="4" customFormat="1" x14ac:dyDescent="0.25">
      <c r="A127" s="2"/>
      <c r="B127" s="2"/>
      <c r="C127" s="2"/>
      <c r="D127" s="2"/>
      <c r="E127" s="2"/>
      <c r="F127" s="2"/>
      <c r="G127" s="2"/>
      <c r="H127" s="2"/>
      <c r="I127" s="80"/>
      <c r="J127" s="80"/>
      <c r="K127" s="2"/>
      <c r="L127" s="2"/>
    </row>
    <row r="128" spans="1:12" s="4" customFormat="1" x14ac:dyDescent="0.25">
      <c r="A128" s="2"/>
      <c r="B128" s="2"/>
      <c r="C128" s="2"/>
      <c r="D128" s="2"/>
      <c r="E128" s="2"/>
      <c r="F128" s="2"/>
      <c r="G128" s="2"/>
      <c r="H128" s="2"/>
      <c r="I128" s="80"/>
      <c r="J128" s="80"/>
      <c r="K128" s="2"/>
      <c r="L128" s="2"/>
    </row>
    <row r="129" spans="1:12" s="4" customFormat="1" x14ac:dyDescent="0.25">
      <c r="A129" s="2"/>
      <c r="B129" s="2"/>
      <c r="C129" s="2"/>
      <c r="D129" s="2"/>
      <c r="E129" s="2"/>
      <c r="F129" s="2"/>
      <c r="G129" s="2"/>
      <c r="H129" s="2"/>
      <c r="I129" s="80"/>
      <c r="J129" s="80"/>
      <c r="K129" s="2"/>
      <c r="L129" s="2"/>
    </row>
    <row r="130" spans="1:12" s="4" customFormat="1" x14ac:dyDescent="0.25">
      <c r="A130" s="2"/>
      <c r="B130" s="2"/>
      <c r="C130" s="2"/>
      <c r="D130" s="2"/>
      <c r="E130" s="2"/>
      <c r="F130" s="2"/>
      <c r="G130" s="2"/>
      <c r="H130" s="2"/>
      <c r="I130" s="80"/>
      <c r="J130" s="80"/>
      <c r="K130" s="2"/>
      <c r="L130" s="2"/>
    </row>
    <row r="131" spans="1:12" s="4" customFormat="1" x14ac:dyDescent="0.25">
      <c r="A131" s="2"/>
      <c r="B131" s="2"/>
      <c r="C131" s="2"/>
      <c r="D131" s="2"/>
      <c r="E131" s="2"/>
      <c r="F131" s="2"/>
      <c r="G131" s="2"/>
      <c r="H131" s="2"/>
      <c r="I131" s="80"/>
      <c r="J131" s="80"/>
      <c r="K131" s="2"/>
      <c r="L131" s="2"/>
    </row>
    <row r="132" spans="1:12" s="4" customFormat="1" x14ac:dyDescent="0.25">
      <c r="A132" s="2"/>
      <c r="B132" s="2"/>
      <c r="C132" s="2"/>
      <c r="D132" s="2"/>
      <c r="E132" s="2"/>
      <c r="F132" s="2"/>
      <c r="G132" s="2"/>
      <c r="H132" s="2"/>
      <c r="I132" s="80"/>
      <c r="J132" s="80"/>
      <c r="K132" s="2"/>
      <c r="L132" s="2"/>
    </row>
    <row r="133" spans="1:12" s="4" customFormat="1" x14ac:dyDescent="0.25">
      <c r="A133" s="2"/>
      <c r="B133" s="2"/>
      <c r="C133" s="2"/>
      <c r="D133" s="2"/>
      <c r="E133" s="2"/>
      <c r="F133" s="2"/>
      <c r="G133" s="2"/>
      <c r="H133" s="2"/>
      <c r="I133" s="80"/>
      <c r="J133" s="80"/>
      <c r="K133" s="2"/>
      <c r="L133" s="2"/>
    </row>
    <row r="134" spans="1:12" s="4" customFormat="1" x14ac:dyDescent="0.25">
      <c r="A134" s="2"/>
      <c r="B134" s="2"/>
      <c r="C134" s="2"/>
      <c r="D134" s="2"/>
      <c r="E134" s="2"/>
      <c r="F134" s="2"/>
      <c r="G134" s="2"/>
      <c r="H134" s="2"/>
      <c r="I134" s="80"/>
      <c r="J134" s="80"/>
      <c r="K134" s="2"/>
      <c r="L134" s="2"/>
    </row>
    <row r="135" spans="1:12" s="4" customFormat="1" x14ac:dyDescent="0.25">
      <c r="A135" s="2"/>
      <c r="B135" s="2"/>
      <c r="C135" s="2"/>
      <c r="D135" s="2"/>
      <c r="E135" s="2"/>
      <c r="F135" s="2"/>
      <c r="G135" s="2"/>
      <c r="H135" s="2"/>
      <c r="I135" s="80"/>
      <c r="J135" s="80"/>
      <c r="K135" s="2"/>
      <c r="L135" s="2"/>
    </row>
    <row r="136" spans="1:12" s="4" customFormat="1" x14ac:dyDescent="0.25">
      <c r="A136" s="2"/>
      <c r="B136" s="2"/>
      <c r="C136" s="2"/>
      <c r="D136" s="2"/>
      <c r="E136" s="2"/>
      <c r="F136" s="2"/>
      <c r="G136" s="2"/>
      <c r="H136" s="2"/>
      <c r="I136" s="80"/>
      <c r="J136" s="80"/>
      <c r="K136" s="2"/>
      <c r="L136" s="2"/>
    </row>
    <row r="137" spans="1:12" s="4" customFormat="1" x14ac:dyDescent="0.25">
      <c r="A137" s="2"/>
      <c r="B137" s="2"/>
      <c r="C137" s="2"/>
      <c r="D137" s="2"/>
      <c r="E137" s="2"/>
      <c r="F137" s="2"/>
      <c r="G137" s="2"/>
      <c r="H137" s="2"/>
      <c r="I137" s="80"/>
      <c r="J137" s="80"/>
      <c r="K137" s="2"/>
      <c r="L137" s="2"/>
    </row>
    <row r="138" spans="1:12" s="4" customFormat="1" x14ac:dyDescent="0.25">
      <c r="A138" s="2"/>
      <c r="B138" s="2"/>
      <c r="C138" s="2"/>
      <c r="D138" s="2"/>
      <c r="E138" s="2"/>
      <c r="F138" s="2"/>
      <c r="G138" s="2"/>
      <c r="H138" s="2"/>
      <c r="I138" s="80"/>
      <c r="J138" s="80"/>
      <c r="K138" s="2"/>
      <c r="L138" s="2"/>
    </row>
    <row r="139" spans="1:12" s="4" customFormat="1" x14ac:dyDescent="0.25">
      <c r="A139" s="2"/>
      <c r="B139" s="2"/>
      <c r="C139" s="2"/>
      <c r="D139" s="2"/>
      <c r="E139" s="2"/>
      <c r="F139" s="2"/>
      <c r="G139" s="2"/>
      <c r="H139" s="2"/>
      <c r="I139" s="80"/>
      <c r="J139" s="80"/>
      <c r="K139" s="2"/>
      <c r="L139" s="2"/>
    </row>
    <row r="140" spans="1:12" s="4" customFormat="1" x14ac:dyDescent="0.25">
      <c r="A140" s="2"/>
      <c r="B140" s="2"/>
      <c r="C140" s="2"/>
      <c r="D140" s="2"/>
      <c r="E140" s="2"/>
      <c r="F140" s="2"/>
      <c r="G140" s="2"/>
      <c r="H140" s="2"/>
      <c r="I140" s="80"/>
      <c r="J140" s="80"/>
      <c r="K140" s="2"/>
      <c r="L140" s="2"/>
    </row>
    <row r="141" spans="1:12" s="4" customFormat="1" x14ac:dyDescent="0.25">
      <c r="A141" s="2"/>
      <c r="B141" s="2"/>
      <c r="C141" s="2"/>
      <c r="D141" s="2"/>
      <c r="E141" s="2"/>
      <c r="F141" s="2"/>
      <c r="G141" s="2"/>
      <c r="H141" s="2"/>
      <c r="I141" s="80"/>
      <c r="J141" s="80"/>
      <c r="K141" s="2"/>
      <c r="L141" s="2"/>
    </row>
    <row r="142" spans="1:12" s="4" customFormat="1" x14ac:dyDescent="0.25">
      <c r="A142" s="2"/>
      <c r="B142" s="2"/>
      <c r="C142" s="2"/>
      <c r="D142" s="2"/>
      <c r="E142" s="2"/>
      <c r="F142" s="2"/>
      <c r="G142" s="2"/>
      <c r="H142" s="2"/>
      <c r="I142" s="80"/>
      <c r="J142" s="80"/>
      <c r="K142" s="2"/>
      <c r="L142" s="2"/>
    </row>
    <row r="143" spans="1:12" s="4" customFormat="1" x14ac:dyDescent="0.25">
      <c r="A143" s="2"/>
      <c r="B143" s="2"/>
      <c r="C143" s="2"/>
      <c r="D143" s="2"/>
      <c r="E143" s="2"/>
      <c r="F143" s="2"/>
      <c r="G143" s="2"/>
      <c r="H143" s="2"/>
      <c r="I143" s="80"/>
      <c r="J143" s="80"/>
      <c r="K143" s="2"/>
      <c r="L143" s="2"/>
    </row>
    <row r="144" spans="1:12" s="4" customFormat="1" x14ac:dyDescent="0.25">
      <c r="A144" s="2"/>
      <c r="B144" s="2"/>
      <c r="C144" s="2"/>
      <c r="D144" s="2"/>
      <c r="E144" s="2"/>
      <c r="F144" s="2"/>
      <c r="G144" s="2"/>
      <c r="H144" s="2"/>
      <c r="I144" s="80"/>
      <c r="J144" s="80"/>
      <c r="K144" s="2"/>
      <c r="L144" s="2"/>
    </row>
    <row r="145" spans="1:12" s="4" customFormat="1" x14ac:dyDescent="0.25">
      <c r="A145" s="2"/>
      <c r="B145" s="2"/>
      <c r="C145" s="2"/>
      <c r="D145" s="2"/>
      <c r="E145" s="2"/>
      <c r="F145" s="2"/>
      <c r="G145" s="2"/>
      <c r="H145" s="2"/>
      <c r="I145" s="80"/>
      <c r="J145" s="80"/>
      <c r="K145" s="2"/>
      <c r="L145" s="2"/>
    </row>
    <row r="146" spans="1:12" s="4" customFormat="1" x14ac:dyDescent="0.25">
      <c r="A146" s="2"/>
      <c r="B146" s="2"/>
      <c r="C146" s="2"/>
      <c r="D146" s="2"/>
      <c r="E146" s="2"/>
      <c r="F146" s="2"/>
      <c r="G146" s="2"/>
      <c r="H146" s="2"/>
      <c r="I146" s="80"/>
      <c r="J146" s="80"/>
      <c r="K146" s="2"/>
      <c r="L146" s="2"/>
    </row>
    <row r="147" spans="1:12" s="4" customFormat="1" x14ac:dyDescent="0.25">
      <c r="A147" s="2"/>
      <c r="B147" s="2"/>
      <c r="C147" s="2"/>
      <c r="D147" s="2"/>
      <c r="E147" s="2"/>
      <c r="F147" s="2"/>
      <c r="G147" s="2"/>
      <c r="H147" s="2"/>
      <c r="I147" s="80"/>
      <c r="J147" s="80"/>
      <c r="K147" s="2"/>
      <c r="L147" s="2"/>
    </row>
    <row r="148" spans="1:12" s="4" customFormat="1" x14ac:dyDescent="0.25">
      <c r="A148" s="2"/>
      <c r="B148" s="2"/>
      <c r="C148" s="2"/>
      <c r="D148" s="2"/>
      <c r="E148" s="2"/>
      <c r="F148" s="2"/>
      <c r="G148" s="2"/>
      <c r="H148" s="2"/>
      <c r="I148" s="80"/>
      <c r="J148" s="80"/>
      <c r="K148" s="2"/>
      <c r="L148" s="2"/>
    </row>
    <row r="149" spans="1:12" s="4" customFormat="1" x14ac:dyDescent="0.25">
      <c r="A149" s="2"/>
      <c r="B149" s="2"/>
      <c r="C149" s="2"/>
      <c r="D149" s="2"/>
      <c r="E149" s="2"/>
      <c r="F149" s="2"/>
      <c r="G149" s="2"/>
      <c r="H149" s="2"/>
      <c r="I149" s="80"/>
      <c r="J149" s="80"/>
      <c r="K149" s="2"/>
      <c r="L149" s="2"/>
    </row>
    <row r="150" spans="1:12" s="4" customFormat="1" x14ac:dyDescent="0.25">
      <c r="A150" s="2"/>
      <c r="B150" s="2"/>
      <c r="C150" s="2"/>
      <c r="D150" s="2"/>
      <c r="E150" s="2"/>
      <c r="F150" s="2"/>
      <c r="G150" s="2"/>
      <c r="H150" s="2"/>
      <c r="I150" s="80"/>
      <c r="J150" s="80"/>
      <c r="K150" s="2"/>
      <c r="L150" s="2"/>
    </row>
  </sheetData>
  <sheetProtection formatCells="0" formatColumns="0" formatRows="0" insertColumns="0" insertRows="0" insertHyperlinks="0" deleteColumns="0" deleteRows="0" sort="0" autoFilter="0" pivotTables="0"/>
  <mergeCells count="6">
    <mergeCell ref="L23:L103"/>
    <mergeCell ref="A4:D4"/>
    <mergeCell ref="E4:F6"/>
    <mergeCell ref="H4:L6"/>
    <mergeCell ref="A6:D6"/>
    <mergeCell ref="L10:L22"/>
  </mergeCells>
  <conditionalFormatting sqref="I11:I25">
    <cfRule type="cellIs" dxfId="8" priority="8" operator="greaterThan">
      <formula>75</formula>
    </cfRule>
  </conditionalFormatting>
  <conditionalFormatting sqref="I11:I103">
    <cfRule type="cellIs" dxfId="7" priority="7" operator="greaterThan">
      <formula>0</formula>
    </cfRule>
  </conditionalFormatting>
  <conditionalFormatting sqref="H11:H103">
    <cfRule type="cellIs" dxfId="6" priority="6" operator="greaterThan">
      <formula>0</formula>
    </cfRule>
  </conditionalFormatting>
  <conditionalFormatting sqref="H11:I103">
    <cfRule type="cellIs" dxfId="5" priority="5" operator="greaterThan">
      <formula>0</formula>
    </cfRule>
    <cfRule type="cellIs" dxfId="4" priority="4" operator="greaterThan">
      <formula>0</formula>
    </cfRule>
  </conditionalFormatting>
  <conditionalFormatting sqref="B11:C103">
    <cfRule type="cellIs" dxfId="3" priority="3" operator="greaterThan">
      <formula>0</formula>
    </cfRule>
  </conditionalFormatting>
  <conditionalFormatting sqref="D11:D103">
    <cfRule type="cellIs" dxfId="2" priority="2" operator="greaterThan">
      <formula>0</formula>
    </cfRule>
  </conditionalFormatting>
  <conditionalFormatting sqref="J11:J103">
    <cfRule type="cellIs" dxfId="1" priority="1" operator="greaterThan">
      <formula>0</formula>
    </cfRule>
  </conditionalFormatting>
  <dataValidations disablePrompts="1" count="1">
    <dataValidation type="whole" operator="notEqual" allowBlank="1" showErrorMessage="1" errorTitle="Valor inválido. Informe 1, 2 ou 3" sqref="M2" xr:uid="{00000000-0002-0000-0100-000000000000}">
      <formula1>1</formula1>
      <formula2>0</formula2>
    </dataValidation>
  </dataValidation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&amp;CPágina &amp;P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O81"/>
  <sheetViews>
    <sheetView zoomScaleNormal="100" workbookViewId="0">
      <pane ySplit="4" topLeftCell="A5" activePane="bottomLeft" state="frozen"/>
      <selection pane="bottomLeft" activeCell="C5" activeCellId="1" sqref="E5 C5"/>
    </sheetView>
  </sheetViews>
  <sheetFormatPr defaultColWidth="11.54296875" defaultRowHeight="12.5" x14ac:dyDescent="0.25"/>
  <cols>
    <col min="1" max="1" width="17.90625" style="4" customWidth="1"/>
    <col min="2" max="2" width="16.26953125" style="2" customWidth="1"/>
    <col min="3" max="3" width="16.08984375" style="98" customWidth="1"/>
    <col min="4" max="4" width="2.26953125" style="2" customWidth="1"/>
    <col min="5" max="5" width="11.54296875" style="98"/>
    <col min="6" max="6" width="11.1796875" style="2" customWidth="1"/>
    <col min="7" max="8" width="11.54296875" style="4"/>
    <col min="10" max="13" width="11.54296875" style="4"/>
    <col min="14" max="14" width="6.81640625" style="4" customWidth="1"/>
    <col min="15" max="16384" width="11.54296875" style="4"/>
  </cols>
  <sheetData>
    <row r="1" spans="1:15" ht="15.5" x14ac:dyDescent="0.35">
      <c r="A1" s="44" t="s">
        <v>33</v>
      </c>
      <c r="B1" s="45"/>
      <c r="C1" s="100"/>
      <c r="D1" s="46"/>
      <c r="E1" s="104" t="str">
        <f>'VALE TRANSPORTES CÁLCULO'!J2</f>
        <v>SIDIAL FERRAGENS</v>
      </c>
      <c r="F1" s="46"/>
      <c r="G1" s="108"/>
      <c r="H1" s="108"/>
      <c r="I1" s="108"/>
      <c r="J1" s="108"/>
      <c r="K1" s="108"/>
      <c r="L1" s="108"/>
      <c r="M1" s="108"/>
      <c r="N1" s="108"/>
      <c r="O1" s="108"/>
    </row>
    <row r="2" spans="1:15" ht="15.5" x14ac:dyDescent="0.35">
      <c r="E2" s="105" t="str">
        <f>'VALE TRANSPORTES CÁLCULO'!J1</f>
        <v>EMPRESA:</v>
      </c>
      <c r="G2" s="108"/>
      <c r="H2" s="108"/>
      <c r="I2" s="108"/>
      <c r="J2" s="108"/>
      <c r="K2" s="108"/>
      <c r="L2" s="108"/>
      <c r="M2" s="108"/>
      <c r="N2" s="108"/>
      <c r="O2" s="108"/>
    </row>
    <row r="3" spans="1:15" s="48" customFormat="1" ht="20.5" customHeight="1" x14ac:dyDescent="0.35">
      <c r="A3" s="4"/>
      <c r="B3" s="2"/>
      <c r="C3" s="98"/>
      <c r="D3" s="2"/>
      <c r="E3" s="98"/>
      <c r="F3" s="2"/>
      <c r="G3" s="108"/>
      <c r="H3" s="108"/>
      <c r="I3" s="108"/>
      <c r="J3" s="108"/>
      <c r="K3" s="108"/>
      <c r="L3" s="108"/>
      <c r="M3" s="108"/>
      <c r="N3" s="108"/>
      <c r="O3" s="108"/>
    </row>
    <row r="4" spans="1:15" s="48" customFormat="1" ht="18" x14ac:dyDescent="0.4">
      <c r="A4" s="4"/>
      <c r="B4" s="49" t="s">
        <v>34</v>
      </c>
      <c r="C4" s="101" t="s">
        <v>35</v>
      </c>
      <c r="E4" s="102"/>
      <c r="F4" s="50"/>
      <c r="G4" s="108"/>
      <c r="H4" s="108"/>
      <c r="I4" s="108"/>
      <c r="J4" s="108"/>
      <c r="K4" s="108"/>
      <c r="L4" s="108"/>
      <c r="M4" s="108"/>
      <c r="N4" s="108"/>
      <c r="O4" s="108"/>
    </row>
    <row r="5" spans="1:15" ht="18" x14ac:dyDescent="0.4">
      <c r="B5" s="47">
        <f>'VALE TRANSPORTES CÁLCULO'!K9</f>
        <v>6.25</v>
      </c>
      <c r="C5" s="106">
        <f>'VALE TRANSPORTES CÁLCULO'!E9</f>
        <v>1</v>
      </c>
      <c r="D5" s="50" t="s">
        <v>36</v>
      </c>
      <c r="E5" s="106">
        <f>'VALE TRANSPORTES CÁLCULO'!F9</f>
        <v>18</v>
      </c>
      <c r="F5" s="51" t="str">
        <f>'VALE TRANSPORTES CÁLCULO'!G5</f>
        <v>Julho/26</v>
      </c>
      <c r="G5" s="108"/>
      <c r="H5" s="108"/>
      <c r="I5" s="108"/>
      <c r="J5" s="108"/>
      <c r="K5" s="108"/>
      <c r="L5" s="108"/>
      <c r="M5" s="108"/>
      <c r="N5" s="108"/>
      <c r="O5" s="108"/>
    </row>
    <row r="6" spans="1:15" customFormat="1" x14ac:dyDescent="0.25">
      <c r="A6" s="4"/>
      <c r="B6" s="2"/>
      <c r="C6" s="98"/>
      <c r="D6" s="2"/>
      <c r="E6" s="98"/>
      <c r="F6" s="2"/>
      <c r="G6" s="108"/>
      <c r="H6" s="108"/>
      <c r="I6" s="108"/>
      <c r="J6" s="108"/>
      <c r="K6" s="108"/>
      <c r="L6" s="108"/>
      <c r="M6" s="108"/>
      <c r="N6" s="108"/>
      <c r="O6" s="108"/>
    </row>
    <row r="7" spans="1:15" ht="14" x14ac:dyDescent="0.3">
      <c r="A7" s="52" t="s">
        <v>37</v>
      </c>
      <c r="B7" s="53" t="s">
        <v>38</v>
      </c>
      <c r="C7" s="103" t="s">
        <v>39</v>
      </c>
      <c r="D7" s="53"/>
      <c r="E7" s="103" t="s">
        <v>40</v>
      </c>
      <c r="F7" s="53"/>
      <c r="G7" s="108"/>
      <c r="H7" s="108"/>
      <c r="I7" s="108"/>
      <c r="J7" s="108"/>
      <c r="K7" s="108"/>
      <c r="L7" s="108"/>
      <c r="M7" s="108"/>
      <c r="N7" s="108"/>
      <c r="O7" s="108"/>
    </row>
    <row r="8" spans="1:15" x14ac:dyDescent="0.25">
      <c r="B8" s="54" t="s">
        <v>41</v>
      </c>
      <c r="G8" s="108"/>
      <c r="H8" s="108"/>
      <c r="I8" s="108"/>
      <c r="J8" s="108"/>
      <c r="K8" s="108"/>
      <c r="L8" s="108"/>
      <c r="M8" s="108"/>
      <c r="N8" s="108"/>
      <c r="O8" s="108"/>
    </row>
    <row r="9" spans="1:15" ht="18" x14ac:dyDescent="0.4">
      <c r="A9" s="4" t="str">
        <f>IF('VALE TRANSPORTES CÁLCULO'!A11=0,"",'VALE TRANSPORTES CÁLCULO'!A11)</f>
        <v>ANDREIA</v>
      </c>
      <c r="B9" s="2">
        <f>IF('VALE TRANSPORTES CÁLCULO'!A11=0,"",'VALE TRANSPORTES CÁLCULO'!E11)</f>
        <v>32</v>
      </c>
      <c r="C9" s="98">
        <f>IF('VALE TRANSPORTES CÁLCULO'!K11=0,"",'VALE TRANSPORTES CÁLCULO'!K11)</f>
        <v>200</v>
      </c>
      <c r="E9" s="102">
        <f>'VALE TRANSPORTES CÁLCULO'!L9</f>
        <v>975</v>
      </c>
      <c r="F9" s="4"/>
      <c r="G9" s="108"/>
      <c r="H9" s="108"/>
      <c r="I9" s="108"/>
      <c r="J9" s="108"/>
      <c r="K9" s="108"/>
      <c r="L9" s="108"/>
      <c r="M9" s="108"/>
      <c r="N9" s="108"/>
      <c r="O9" s="108"/>
    </row>
    <row r="10" spans="1:15" x14ac:dyDescent="0.25">
      <c r="A10" s="4" t="str">
        <f>IF('VALE TRANSPORTES CÁLCULO'!A12=0,"",'VALE TRANSPORTES CÁLCULO'!A12)</f>
        <v>DIULIA</v>
      </c>
      <c r="B10" s="2">
        <f>IF('VALE TRANSPORTES CÁLCULO'!A12=0,"",'VALE TRANSPORTES CÁLCULO'!E12)</f>
        <v>38</v>
      </c>
      <c r="C10" s="98">
        <f>IF('VALE TRANSPORTES CÁLCULO'!K12=0,"",'VALE TRANSPORTES CÁLCULO'!K12)</f>
        <v>137.5</v>
      </c>
      <c r="G10" s="108"/>
      <c r="H10" s="108"/>
      <c r="I10" s="108"/>
      <c r="J10" s="108"/>
      <c r="K10" s="108"/>
      <c r="L10" s="108"/>
      <c r="M10" s="108"/>
      <c r="N10" s="108"/>
      <c r="O10" s="108"/>
    </row>
    <row r="11" spans="1:15" x14ac:dyDescent="0.25">
      <c r="A11" s="4" t="str">
        <f>IF('VALE TRANSPORTES CÁLCULO'!A13=0,"",'VALE TRANSPORTES CÁLCULO'!A13)</f>
        <v>JEREMIAS</v>
      </c>
      <c r="B11" s="2">
        <f>IF('VALE TRANSPORTES CÁLCULO'!A13=0,"",'VALE TRANSPORTES CÁLCULO'!E13)</f>
        <v>32</v>
      </c>
      <c r="C11" s="98">
        <f>IF('VALE TRANSPORTES CÁLCULO'!K13=0,"",'VALE TRANSPORTES CÁLCULO'!K13)</f>
        <v>200</v>
      </c>
      <c r="G11" s="108"/>
      <c r="H11" s="108"/>
      <c r="I11" s="108"/>
      <c r="J11" s="108"/>
      <c r="K11" s="108"/>
      <c r="L11" s="108"/>
      <c r="M11" s="108"/>
      <c r="N11" s="108"/>
      <c r="O11" s="108"/>
    </row>
    <row r="12" spans="1:15" x14ac:dyDescent="0.25">
      <c r="A12" s="4" t="str">
        <f>IF('VALE TRANSPORTES CÁLCULO'!A14=0,"",'VALE TRANSPORTES CÁLCULO'!A14)</f>
        <v>MARIA FRANCISCA</v>
      </c>
      <c r="B12" s="2">
        <f>IF('VALE TRANSPORTES CÁLCULO'!A14=0,"",'VALE TRANSPORTES CÁLCULO'!E14)</f>
        <v>32</v>
      </c>
      <c r="C12" s="98">
        <f>IF('VALE TRANSPORTES CÁLCULO'!K14=0,"",'VALE TRANSPORTES CÁLCULO'!K14)</f>
        <v>200</v>
      </c>
      <c r="G12" s="108"/>
      <c r="H12" s="108"/>
      <c r="I12" s="108"/>
      <c r="J12" s="108"/>
      <c r="K12" s="108"/>
      <c r="L12" s="108"/>
      <c r="M12" s="108"/>
      <c r="N12" s="108"/>
      <c r="O12" s="108"/>
    </row>
    <row r="13" spans="1:15" x14ac:dyDescent="0.25">
      <c r="A13" s="4" t="str">
        <f>IF('VALE TRANSPORTES CÁLCULO'!A15=0,"",'VALE TRANSPORTES CÁLCULO'!A15)</f>
        <v>RAQUEL</v>
      </c>
      <c r="B13" s="2">
        <f>IF('VALE TRANSPORTES CÁLCULO'!A15=0,"",'VALE TRANSPORTES CÁLCULO'!E15)</f>
        <v>38</v>
      </c>
      <c r="C13" s="98">
        <f>IF('VALE TRANSPORTES CÁLCULO'!K15=0,"",'VALE TRANSPORTES CÁLCULO'!K15)</f>
        <v>237.5</v>
      </c>
      <c r="G13" s="108"/>
      <c r="H13" s="108"/>
      <c r="I13" s="108"/>
      <c r="J13" s="108"/>
      <c r="K13" s="108"/>
      <c r="L13" s="108"/>
      <c r="M13" s="108"/>
      <c r="N13" s="108"/>
      <c r="O13" s="108"/>
    </row>
    <row r="14" spans="1:15" x14ac:dyDescent="0.25">
      <c r="A14" s="4" t="str">
        <f>IF('VALE TRANSPORTES CÁLCULO'!A16=0,"",'VALE TRANSPORTES CÁLCULO'!A16)</f>
        <v/>
      </c>
      <c r="B14" s="2" t="str">
        <f>IF('VALE TRANSPORTES CÁLCULO'!A16=0,"",'VALE TRANSPORTES CÁLCULO'!E16)</f>
        <v/>
      </c>
      <c r="C14" s="98" t="str">
        <f>IF('VALE TRANSPORTES CÁLCULO'!K16=0,"",'VALE TRANSPORTES CÁLCULO'!K16)</f>
        <v/>
      </c>
      <c r="G14" s="108"/>
      <c r="H14" s="108"/>
      <c r="I14" s="108"/>
      <c r="J14" s="108"/>
      <c r="K14" s="108"/>
      <c r="L14" s="108"/>
      <c r="M14" s="108"/>
      <c r="N14" s="108"/>
      <c r="O14" s="108"/>
    </row>
    <row r="15" spans="1:15" x14ac:dyDescent="0.25">
      <c r="A15" s="4" t="str">
        <f>IF('VALE TRANSPORTES CÁLCULO'!A17=0,"",'VALE TRANSPORTES CÁLCULO'!A17)</f>
        <v/>
      </c>
      <c r="B15" s="2" t="str">
        <f>IF('VALE TRANSPORTES CÁLCULO'!A17=0,"",'VALE TRANSPORTES CÁLCULO'!E17)</f>
        <v/>
      </c>
      <c r="C15" s="98" t="str">
        <f>IF('VALE TRANSPORTES CÁLCULO'!K17=0,"",'VALE TRANSPORTES CÁLCULO'!K17)</f>
        <v/>
      </c>
      <c r="G15" s="108"/>
      <c r="H15" s="108"/>
      <c r="I15" s="108"/>
      <c r="J15" s="108"/>
      <c r="K15" s="108"/>
      <c r="L15" s="108"/>
      <c r="M15" s="108"/>
      <c r="N15" s="108"/>
      <c r="O15" s="108"/>
    </row>
    <row r="16" spans="1:15" x14ac:dyDescent="0.25">
      <c r="A16" s="4" t="str">
        <f>IF('VALE TRANSPORTES CÁLCULO'!A18=0,"",'VALE TRANSPORTES CÁLCULO'!A18)</f>
        <v/>
      </c>
      <c r="B16" s="2" t="str">
        <f>IF('VALE TRANSPORTES CÁLCULO'!A18=0,"",'VALE TRANSPORTES CÁLCULO'!E18)</f>
        <v/>
      </c>
      <c r="C16" s="98" t="str">
        <f>IF('VALE TRANSPORTES CÁLCULO'!K18=0,"",'VALE TRANSPORTES CÁLCULO'!K18)</f>
        <v/>
      </c>
      <c r="G16" s="108"/>
      <c r="H16" s="108"/>
      <c r="I16" s="108"/>
      <c r="J16" s="108"/>
      <c r="K16" s="108"/>
      <c r="L16" s="108"/>
      <c r="M16" s="108"/>
      <c r="N16" s="108"/>
      <c r="O16" s="108"/>
    </row>
    <row r="17" spans="1:15" x14ac:dyDescent="0.25">
      <c r="A17" s="4" t="str">
        <f>IF('VALE TRANSPORTES CÁLCULO'!A19=0,"",'VALE TRANSPORTES CÁLCULO'!A19)</f>
        <v/>
      </c>
      <c r="B17" s="2" t="str">
        <f>IF('VALE TRANSPORTES CÁLCULO'!A19=0,"",'VALE TRANSPORTES CÁLCULO'!E19)</f>
        <v/>
      </c>
      <c r="C17" s="98" t="str">
        <f>IF('VALE TRANSPORTES CÁLCULO'!K19=0,"",'VALE TRANSPORTES CÁLCULO'!K19)</f>
        <v/>
      </c>
      <c r="G17" s="108"/>
      <c r="H17" s="108"/>
      <c r="I17" s="108"/>
      <c r="J17" s="108"/>
      <c r="K17" s="108"/>
      <c r="L17" s="108"/>
      <c r="M17" s="108"/>
      <c r="N17" s="108"/>
      <c r="O17" s="108"/>
    </row>
    <row r="18" spans="1:15" x14ac:dyDescent="0.25">
      <c r="A18" s="4" t="str">
        <f>IF('VALE TRANSPORTES CÁLCULO'!A20=0,"",'VALE TRANSPORTES CÁLCULO'!A20)</f>
        <v/>
      </c>
      <c r="B18" s="2" t="str">
        <f>IF('VALE TRANSPORTES CÁLCULO'!A20=0,"",'VALE TRANSPORTES CÁLCULO'!E20)</f>
        <v/>
      </c>
      <c r="C18" s="98" t="str">
        <f>IF('VALE TRANSPORTES CÁLCULO'!K20=0,"",'VALE TRANSPORTES CÁLCULO'!K20)</f>
        <v/>
      </c>
      <c r="G18" s="108"/>
      <c r="H18" s="108"/>
      <c r="I18" s="108"/>
      <c r="J18" s="108"/>
      <c r="K18" s="108"/>
      <c r="L18" s="108"/>
      <c r="M18" s="108"/>
      <c r="N18" s="108"/>
      <c r="O18" s="108"/>
    </row>
    <row r="19" spans="1:15" x14ac:dyDescent="0.25">
      <c r="A19" s="4" t="str">
        <f>IF('VALE TRANSPORTES CÁLCULO'!A21=0,"",'VALE TRANSPORTES CÁLCULO'!A21)</f>
        <v/>
      </c>
      <c r="B19" s="2" t="str">
        <f>IF('VALE TRANSPORTES CÁLCULO'!A21=0,"",'VALE TRANSPORTES CÁLCULO'!E21)</f>
        <v/>
      </c>
      <c r="C19" s="98" t="str">
        <f>IF('VALE TRANSPORTES CÁLCULO'!K21=0,"",'VALE TRANSPORTES CÁLCULO'!K21)</f>
        <v/>
      </c>
      <c r="G19" s="108"/>
      <c r="H19" s="108"/>
      <c r="I19" s="108"/>
      <c r="J19" s="108"/>
      <c r="K19" s="108"/>
      <c r="L19" s="108"/>
      <c r="M19" s="108"/>
      <c r="N19" s="108"/>
      <c r="O19" s="108"/>
    </row>
    <row r="20" spans="1:15" x14ac:dyDescent="0.25">
      <c r="A20" s="4" t="str">
        <f>IF('VALE TRANSPORTES CÁLCULO'!A22=0,"",'VALE TRANSPORTES CÁLCULO'!A22)</f>
        <v/>
      </c>
      <c r="B20" s="2" t="str">
        <f>IF('VALE TRANSPORTES CÁLCULO'!A22=0,"",'VALE TRANSPORTES CÁLCULO'!E22)</f>
        <v/>
      </c>
      <c r="C20" s="98" t="str">
        <f>IF('VALE TRANSPORTES CÁLCULO'!K22=0,"",'VALE TRANSPORTES CÁLCULO'!K22)</f>
        <v/>
      </c>
      <c r="G20" s="108"/>
      <c r="H20" s="108"/>
      <c r="I20" s="108"/>
      <c r="J20" s="108"/>
      <c r="K20" s="108"/>
      <c r="L20" s="108"/>
      <c r="M20" s="108"/>
      <c r="N20" s="108"/>
      <c r="O20" s="108"/>
    </row>
    <row r="21" spans="1:15" x14ac:dyDescent="0.25">
      <c r="A21" s="4" t="str">
        <f>IF('VALE TRANSPORTES CÁLCULO'!A23=0,"",'VALE TRANSPORTES CÁLCULO'!A23)</f>
        <v/>
      </c>
      <c r="B21" s="2" t="str">
        <f>IF('VALE TRANSPORTES CÁLCULO'!A23=0,"",'VALE TRANSPORTES CÁLCULO'!E23)</f>
        <v/>
      </c>
      <c r="C21" s="98" t="str">
        <f>IF('VALE TRANSPORTES CÁLCULO'!K23=0,"",'VALE TRANSPORTES CÁLCULO'!K23)</f>
        <v/>
      </c>
      <c r="G21" s="108"/>
      <c r="H21" s="108"/>
      <c r="I21" s="108"/>
      <c r="J21" s="108"/>
      <c r="K21" s="108"/>
      <c r="L21" s="108"/>
      <c r="M21" s="108"/>
      <c r="N21" s="108"/>
      <c r="O21" s="108"/>
    </row>
    <row r="22" spans="1:15" x14ac:dyDescent="0.25">
      <c r="A22" s="4" t="str">
        <f>IF('VALE TRANSPORTES CÁLCULO'!A24=0,"",'VALE TRANSPORTES CÁLCULO'!A24)</f>
        <v/>
      </c>
      <c r="B22" s="2" t="str">
        <f>IF('VALE TRANSPORTES CÁLCULO'!A24=0,"",'VALE TRANSPORTES CÁLCULO'!E24)</f>
        <v/>
      </c>
      <c r="C22" s="98" t="str">
        <f>IF('VALE TRANSPORTES CÁLCULO'!K24=0,"",'VALE TRANSPORTES CÁLCULO'!K24)</f>
        <v/>
      </c>
      <c r="G22" s="108"/>
      <c r="H22" s="108"/>
      <c r="I22" s="108"/>
      <c r="J22" s="108"/>
      <c r="K22" s="108"/>
      <c r="L22" s="108"/>
      <c r="M22" s="108"/>
      <c r="N22" s="108"/>
      <c r="O22" s="108"/>
    </row>
    <row r="23" spans="1:15" x14ac:dyDescent="0.25">
      <c r="A23" s="4" t="str">
        <f>IF('VALE TRANSPORTES CÁLCULO'!A25=0,"",'VALE TRANSPORTES CÁLCULO'!A25)</f>
        <v/>
      </c>
      <c r="B23" s="2" t="str">
        <f>IF('VALE TRANSPORTES CÁLCULO'!A25=0,"",'VALE TRANSPORTES CÁLCULO'!E25)</f>
        <v/>
      </c>
      <c r="C23" s="98" t="str">
        <f>IF('VALE TRANSPORTES CÁLCULO'!K25=0,"",'VALE TRANSPORTES CÁLCULO'!K25)</f>
        <v/>
      </c>
      <c r="G23" s="108"/>
      <c r="H23" s="108"/>
      <c r="I23" s="108"/>
      <c r="J23" s="108"/>
      <c r="K23" s="108"/>
      <c r="L23" s="108"/>
      <c r="M23" s="108"/>
      <c r="N23" s="108"/>
      <c r="O23" s="108"/>
    </row>
    <row r="24" spans="1:15" x14ac:dyDescent="0.25">
      <c r="A24" s="4" t="str">
        <f>IF('VALE TRANSPORTES CÁLCULO'!A26=0,"",'VALE TRANSPORTES CÁLCULO'!A26)</f>
        <v/>
      </c>
      <c r="B24" s="2" t="str">
        <f>IF('VALE TRANSPORTES CÁLCULO'!A26=0,"",'VALE TRANSPORTES CÁLCULO'!E26)</f>
        <v/>
      </c>
      <c r="C24" s="98" t="str">
        <f>IF('VALE TRANSPORTES CÁLCULO'!K26=0,"",'VALE TRANSPORTES CÁLCULO'!K26)</f>
        <v/>
      </c>
      <c r="G24" s="108"/>
      <c r="H24" s="108"/>
      <c r="I24" s="108"/>
      <c r="J24" s="108"/>
      <c r="K24" s="108"/>
      <c r="L24" s="108"/>
      <c r="M24" s="108"/>
      <c r="N24" s="108"/>
      <c r="O24" s="108"/>
    </row>
    <row r="25" spans="1:15" x14ac:dyDescent="0.25">
      <c r="A25" s="4" t="str">
        <f>IF('VALE TRANSPORTES CÁLCULO'!A27=0,"",'VALE TRANSPORTES CÁLCULO'!A27)</f>
        <v/>
      </c>
      <c r="B25" s="2" t="str">
        <f>IF('VALE TRANSPORTES CÁLCULO'!A27=0,"",'VALE TRANSPORTES CÁLCULO'!E27)</f>
        <v/>
      </c>
      <c r="C25" s="98" t="str">
        <f>IF('VALE TRANSPORTES CÁLCULO'!K27=0,"",'VALE TRANSPORTES CÁLCULO'!K27)</f>
        <v/>
      </c>
      <c r="G25" s="108"/>
      <c r="H25" s="108"/>
      <c r="I25" s="108"/>
      <c r="J25" s="108"/>
      <c r="K25" s="108"/>
      <c r="L25" s="108"/>
      <c r="M25" s="108"/>
      <c r="N25" s="108"/>
      <c r="O25" s="108"/>
    </row>
    <row r="26" spans="1:15" x14ac:dyDescent="0.25">
      <c r="A26" s="4" t="str">
        <f>IF('VALE TRANSPORTES CÁLCULO'!A28=0,"",'VALE TRANSPORTES CÁLCULO'!A28)</f>
        <v/>
      </c>
      <c r="B26" s="2" t="str">
        <f>IF('VALE TRANSPORTES CÁLCULO'!A28=0,"",'VALE TRANSPORTES CÁLCULO'!E28)</f>
        <v/>
      </c>
      <c r="C26" s="98" t="str">
        <f>IF('VALE TRANSPORTES CÁLCULO'!K28=0,"",'VALE TRANSPORTES CÁLCULO'!K28)</f>
        <v/>
      </c>
      <c r="G26" s="108"/>
      <c r="H26" s="108"/>
      <c r="I26" s="108"/>
      <c r="J26" s="108"/>
      <c r="K26" s="108"/>
      <c r="L26" s="108"/>
      <c r="M26" s="108"/>
      <c r="N26" s="108"/>
      <c r="O26" s="108"/>
    </row>
    <row r="27" spans="1:15" x14ac:dyDescent="0.25">
      <c r="A27" s="4" t="str">
        <f>IF('VALE TRANSPORTES CÁLCULO'!A29=0,"",'VALE TRANSPORTES CÁLCULO'!A29)</f>
        <v/>
      </c>
      <c r="B27" s="2" t="str">
        <f>IF('VALE TRANSPORTES CÁLCULO'!A29=0,"",'VALE TRANSPORTES CÁLCULO'!E29)</f>
        <v/>
      </c>
      <c r="C27" s="98" t="str">
        <f>IF('VALE TRANSPORTES CÁLCULO'!K29=0,"",'VALE TRANSPORTES CÁLCULO'!K29)</f>
        <v/>
      </c>
      <c r="G27" s="108"/>
      <c r="H27" s="108"/>
      <c r="I27" s="108"/>
      <c r="J27" s="108"/>
      <c r="K27" s="108"/>
      <c r="L27" s="108"/>
      <c r="M27" s="108"/>
      <c r="N27" s="108"/>
      <c r="O27" s="108"/>
    </row>
    <row r="28" spans="1:15" x14ac:dyDescent="0.25">
      <c r="G28" s="108"/>
      <c r="H28" s="108"/>
      <c r="I28" s="108"/>
      <c r="J28" s="108"/>
      <c r="K28" s="108"/>
      <c r="L28" s="108"/>
      <c r="M28" s="108"/>
      <c r="N28" s="108"/>
      <c r="O28" s="108"/>
    </row>
    <row r="29" spans="1:15" x14ac:dyDescent="0.25">
      <c r="G29" s="108"/>
      <c r="H29" s="108"/>
      <c r="I29" s="108"/>
      <c r="J29" s="108"/>
      <c r="K29" s="108"/>
      <c r="L29" s="108"/>
      <c r="M29" s="108"/>
      <c r="N29" s="108"/>
      <c r="O29" s="108"/>
    </row>
    <row r="30" spans="1:15" x14ac:dyDescent="0.25">
      <c r="G30" s="108"/>
      <c r="H30" s="108"/>
      <c r="I30" s="108"/>
      <c r="J30" s="108"/>
      <c r="K30" s="108"/>
      <c r="L30" s="108"/>
      <c r="M30" s="108"/>
      <c r="N30" s="108"/>
      <c r="O30" s="108"/>
    </row>
    <row r="31" spans="1:15" x14ac:dyDescent="0.25">
      <c r="G31" s="108"/>
      <c r="H31" s="108"/>
      <c r="I31" s="108"/>
      <c r="J31" s="108"/>
      <c r="K31" s="108"/>
      <c r="L31" s="108"/>
      <c r="M31" s="108"/>
      <c r="N31" s="108"/>
      <c r="O31" s="108"/>
    </row>
    <row r="32" spans="1:15" x14ac:dyDescent="0.25">
      <c r="G32" s="108"/>
      <c r="H32" s="108"/>
      <c r="I32" s="108"/>
      <c r="J32" s="108"/>
      <c r="K32" s="108"/>
      <c r="L32" s="108"/>
      <c r="M32" s="108"/>
      <c r="N32" s="108"/>
      <c r="O32" s="108"/>
    </row>
    <row r="33" spans="7:15" x14ac:dyDescent="0.25">
      <c r="G33" s="108"/>
      <c r="H33" s="108"/>
      <c r="I33" s="108"/>
      <c r="J33" s="108"/>
      <c r="K33" s="108"/>
      <c r="L33" s="108"/>
      <c r="M33" s="108"/>
      <c r="N33" s="108"/>
      <c r="O33" s="108"/>
    </row>
    <row r="34" spans="7:15" x14ac:dyDescent="0.25">
      <c r="G34" s="108"/>
      <c r="H34" s="108"/>
      <c r="I34" s="108"/>
      <c r="J34" s="108"/>
      <c r="K34" s="108"/>
      <c r="L34" s="108"/>
      <c r="M34" s="108"/>
      <c r="N34" s="108"/>
      <c r="O34" s="108"/>
    </row>
    <row r="35" spans="7:15" x14ac:dyDescent="0.25">
      <c r="G35" s="108"/>
      <c r="H35" s="108"/>
      <c r="I35" s="108"/>
      <c r="J35" s="108"/>
      <c r="K35" s="108"/>
      <c r="L35" s="108"/>
      <c r="M35" s="108"/>
      <c r="N35" s="108"/>
      <c r="O35" s="108"/>
    </row>
    <row r="36" spans="7:15" x14ac:dyDescent="0.25">
      <c r="G36" s="108"/>
      <c r="H36" s="108"/>
      <c r="I36" s="108"/>
      <c r="J36" s="108"/>
      <c r="K36" s="108"/>
      <c r="L36" s="108"/>
      <c r="M36" s="108"/>
      <c r="N36" s="108"/>
      <c r="O36" s="108"/>
    </row>
    <row r="37" spans="7:15" x14ac:dyDescent="0.25">
      <c r="G37" s="108"/>
      <c r="H37" s="108"/>
      <c r="I37" s="108"/>
      <c r="J37" s="108"/>
      <c r="K37" s="108"/>
      <c r="L37" s="108"/>
      <c r="M37" s="108"/>
      <c r="N37" s="108"/>
      <c r="O37" s="108"/>
    </row>
    <row r="38" spans="7:15" x14ac:dyDescent="0.25">
      <c r="G38" s="108"/>
      <c r="H38" s="108"/>
      <c r="I38" s="108"/>
      <c r="J38" s="108"/>
      <c r="K38" s="108"/>
      <c r="L38" s="108"/>
      <c r="M38" s="108"/>
      <c r="N38" s="108"/>
      <c r="O38" s="108"/>
    </row>
    <row r="39" spans="7:15" x14ac:dyDescent="0.25">
      <c r="G39" s="108"/>
      <c r="H39" s="108"/>
      <c r="I39" s="108"/>
      <c r="J39" s="108"/>
      <c r="K39" s="108"/>
      <c r="L39" s="108"/>
      <c r="M39" s="108"/>
      <c r="N39" s="108"/>
      <c r="O39" s="108"/>
    </row>
    <row r="40" spans="7:15" x14ac:dyDescent="0.25">
      <c r="G40" s="108"/>
      <c r="H40" s="108"/>
      <c r="I40" s="108"/>
      <c r="J40" s="108"/>
      <c r="K40" s="108"/>
      <c r="L40" s="108"/>
      <c r="M40" s="108"/>
      <c r="N40" s="108"/>
      <c r="O40" s="108"/>
    </row>
    <row r="41" spans="7:15" x14ac:dyDescent="0.25">
      <c r="G41" s="108"/>
      <c r="H41" s="108"/>
      <c r="I41" s="108"/>
      <c r="J41" s="108"/>
      <c r="K41" s="108"/>
      <c r="L41" s="108"/>
      <c r="M41" s="108"/>
      <c r="N41" s="108"/>
      <c r="O41" s="108"/>
    </row>
    <row r="42" spans="7:15" x14ac:dyDescent="0.25">
      <c r="G42" s="108"/>
      <c r="H42" s="108"/>
      <c r="I42" s="108"/>
      <c r="J42" s="108"/>
      <c r="K42" s="108"/>
      <c r="L42" s="108"/>
      <c r="M42" s="108"/>
      <c r="N42" s="108"/>
      <c r="O42" s="108"/>
    </row>
    <row r="43" spans="7:15" x14ac:dyDescent="0.25">
      <c r="G43" s="108"/>
      <c r="H43" s="108"/>
      <c r="I43" s="108"/>
      <c r="J43" s="108"/>
      <c r="K43" s="108"/>
      <c r="L43" s="108"/>
      <c r="M43" s="108"/>
      <c r="N43" s="108"/>
      <c r="O43" s="108"/>
    </row>
    <row r="44" spans="7:15" x14ac:dyDescent="0.25">
      <c r="G44" s="108"/>
      <c r="H44" s="108"/>
      <c r="I44" s="108"/>
      <c r="J44" s="108"/>
      <c r="K44" s="108"/>
      <c r="L44" s="108"/>
      <c r="M44" s="108"/>
      <c r="N44" s="108"/>
      <c r="O44" s="108"/>
    </row>
    <row r="45" spans="7:15" x14ac:dyDescent="0.25">
      <c r="G45" s="108"/>
      <c r="H45" s="108"/>
      <c r="I45" s="108"/>
      <c r="J45" s="108"/>
      <c r="K45" s="108"/>
      <c r="L45" s="108"/>
      <c r="M45" s="108"/>
      <c r="N45" s="108"/>
      <c r="O45" s="108"/>
    </row>
    <row r="46" spans="7:15" x14ac:dyDescent="0.25">
      <c r="G46" s="108"/>
      <c r="H46" s="108"/>
      <c r="I46" s="108"/>
      <c r="J46" s="108"/>
      <c r="K46" s="108"/>
      <c r="L46" s="108"/>
      <c r="M46" s="108"/>
      <c r="N46" s="108"/>
      <c r="O46" s="108"/>
    </row>
    <row r="47" spans="7:15" x14ac:dyDescent="0.25">
      <c r="G47" s="108"/>
      <c r="H47" s="108"/>
      <c r="I47" s="108"/>
      <c r="J47" s="108"/>
      <c r="K47" s="108"/>
      <c r="L47" s="108"/>
      <c r="M47" s="108"/>
      <c r="N47" s="108"/>
      <c r="O47" s="108"/>
    </row>
    <row r="48" spans="7:15" x14ac:dyDescent="0.25">
      <c r="G48" s="108"/>
      <c r="H48" s="108"/>
      <c r="I48" s="108"/>
      <c r="J48" s="108"/>
      <c r="K48" s="108"/>
      <c r="L48" s="108"/>
      <c r="M48" s="108"/>
      <c r="N48" s="108"/>
      <c r="O48" s="108"/>
    </row>
    <row r="49" spans="7:15" x14ac:dyDescent="0.25">
      <c r="G49" s="108"/>
      <c r="H49" s="108"/>
      <c r="I49" s="108"/>
      <c r="J49" s="108"/>
      <c r="K49" s="108"/>
      <c r="L49" s="108"/>
      <c r="M49" s="108"/>
      <c r="N49" s="108"/>
      <c r="O49" s="108"/>
    </row>
    <row r="50" spans="7:15" x14ac:dyDescent="0.25">
      <c r="G50" s="108"/>
      <c r="H50" s="108"/>
      <c r="I50" s="108"/>
      <c r="J50" s="108"/>
      <c r="K50" s="108"/>
      <c r="L50" s="108"/>
      <c r="M50" s="108"/>
      <c r="N50" s="108"/>
      <c r="O50" s="108"/>
    </row>
    <row r="51" spans="7:15" x14ac:dyDescent="0.25">
      <c r="G51" s="108"/>
      <c r="H51" s="108"/>
      <c r="I51" s="108"/>
      <c r="J51" s="108"/>
      <c r="K51" s="108"/>
      <c r="L51" s="108"/>
      <c r="M51" s="108"/>
      <c r="N51" s="108"/>
      <c r="O51" s="108"/>
    </row>
    <row r="52" spans="7:15" x14ac:dyDescent="0.25">
      <c r="G52" s="108"/>
      <c r="H52" s="108"/>
      <c r="I52" s="108"/>
      <c r="J52" s="108"/>
      <c r="K52" s="108"/>
      <c r="L52" s="108"/>
      <c r="M52" s="108"/>
      <c r="N52" s="108"/>
      <c r="O52" s="108"/>
    </row>
    <row r="53" spans="7:15" x14ac:dyDescent="0.25">
      <c r="G53" s="108"/>
      <c r="H53" s="108"/>
      <c r="I53" s="108"/>
      <c r="J53" s="108"/>
      <c r="K53" s="108"/>
      <c r="L53" s="108"/>
      <c r="M53" s="108"/>
      <c r="N53" s="108"/>
      <c r="O53" s="108"/>
    </row>
    <row r="54" spans="7:15" x14ac:dyDescent="0.25">
      <c r="G54" s="108"/>
      <c r="H54" s="108"/>
      <c r="I54" s="108"/>
      <c r="J54" s="108"/>
      <c r="K54" s="108"/>
      <c r="L54" s="108"/>
      <c r="M54" s="108"/>
      <c r="N54" s="108"/>
      <c r="O54" s="108"/>
    </row>
    <row r="55" spans="7:15" x14ac:dyDescent="0.25">
      <c r="G55" s="108"/>
      <c r="H55" s="108"/>
      <c r="I55" s="108"/>
      <c r="J55" s="108"/>
      <c r="K55" s="108"/>
      <c r="L55" s="108"/>
      <c r="M55" s="108"/>
      <c r="N55" s="108"/>
      <c r="O55" s="108"/>
    </row>
    <row r="56" spans="7:15" x14ac:dyDescent="0.25">
      <c r="G56" s="108"/>
      <c r="H56" s="108"/>
      <c r="I56" s="108"/>
      <c r="J56" s="108"/>
      <c r="K56" s="108"/>
      <c r="L56" s="108"/>
      <c r="M56" s="108"/>
      <c r="N56" s="108"/>
      <c r="O56" s="108"/>
    </row>
    <row r="57" spans="7:15" x14ac:dyDescent="0.25">
      <c r="G57" s="108"/>
      <c r="H57" s="108"/>
      <c r="I57" s="108"/>
      <c r="J57" s="108"/>
      <c r="K57" s="108"/>
      <c r="L57" s="108"/>
      <c r="M57" s="108"/>
      <c r="N57" s="108"/>
      <c r="O57" s="108"/>
    </row>
    <row r="58" spans="7:15" x14ac:dyDescent="0.25">
      <c r="G58" s="108"/>
      <c r="H58" s="108"/>
      <c r="I58" s="108"/>
      <c r="J58" s="108"/>
      <c r="K58" s="108"/>
      <c r="L58" s="108"/>
      <c r="M58" s="108"/>
      <c r="N58" s="108"/>
      <c r="O58" s="108"/>
    </row>
    <row r="59" spans="7:15" x14ac:dyDescent="0.25">
      <c r="G59" s="108"/>
      <c r="H59" s="108"/>
      <c r="I59" s="108"/>
      <c r="J59" s="108"/>
      <c r="K59" s="108"/>
      <c r="L59" s="108"/>
      <c r="M59" s="108"/>
      <c r="N59" s="108"/>
      <c r="O59" s="108"/>
    </row>
    <row r="60" spans="7:15" x14ac:dyDescent="0.25">
      <c r="G60" s="108"/>
      <c r="H60" s="108"/>
      <c r="I60" s="108"/>
      <c r="J60" s="108"/>
      <c r="K60" s="108"/>
      <c r="L60" s="108"/>
      <c r="M60" s="108"/>
      <c r="N60" s="108"/>
      <c r="O60" s="108"/>
    </row>
    <row r="61" spans="7:15" x14ac:dyDescent="0.25">
      <c r="G61" s="108"/>
      <c r="H61" s="108"/>
      <c r="I61" s="108"/>
      <c r="J61" s="108"/>
      <c r="K61" s="108"/>
      <c r="L61" s="108"/>
      <c r="M61" s="108"/>
      <c r="N61" s="108"/>
      <c r="O61" s="108"/>
    </row>
    <row r="62" spans="7:15" x14ac:dyDescent="0.25">
      <c r="G62" s="108"/>
      <c r="H62" s="108"/>
      <c r="I62" s="108"/>
      <c r="J62" s="108"/>
      <c r="K62" s="108"/>
      <c r="L62" s="108"/>
      <c r="M62" s="108"/>
      <c r="N62" s="108"/>
      <c r="O62" s="108"/>
    </row>
    <row r="63" spans="7:15" x14ac:dyDescent="0.25">
      <c r="G63" s="108"/>
      <c r="H63" s="108"/>
      <c r="I63" s="108"/>
      <c r="J63" s="108"/>
      <c r="K63" s="108"/>
      <c r="L63" s="108"/>
      <c r="M63" s="108"/>
      <c r="N63" s="108"/>
      <c r="O63" s="108"/>
    </row>
    <row r="64" spans="7:15" x14ac:dyDescent="0.25">
      <c r="G64" s="108"/>
      <c r="H64" s="108"/>
      <c r="I64" s="108"/>
      <c r="J64" s="108"/>
      <c r="K64" s="108"/>
      <c r="L64" s="108"/>
      <c r="M64" s="108"/>
      <c r="N64" s="108"/>
      <c r="O64" s="108"/>
    </row>
    <row r="65" spans="7:15" x14ac:dyDescent="0.25">
      <c r="G65" s="108"/>
      <c r="H65" s="108"/>
      <c r="I65" s="108"/>
      <c r="J65" s="108"/>
      <c r="K65" s="108"/>
      <c r="L65" s="108"/>
      <c r="M65" s="108"/>
      <c r="N65" s="108"/>
      <c r="O65" s="108"/>
    </row>
    <row r="66" spans="7:15" x14ac:dyDescent="0.25">
      <c r="G66" s="108"/>
      <c r="H66" s="108"/>
      <c r="I66" s="108"/>
      <c r="J66" s="108"/>
      <c r="K66" s="108"/>
      <c r="L66" s="108"/>
      <c r="M66" s="108"/>
      <c r="N66" s="108"/>
      <c r="O66" s="108"/>
    </row>
    <row r="67" spans="7:15" x14ac:dyDescent="0.25">
      <c r="G67" s="108"/>
      <c r="H67" s="108"/>
      <c r="I67" s="108"/>
      <c r="J67" s="108"/>
      <c r="K67" s="108"/>
      <c r="L67" s="108"/>
      <c r="M67" s="108"/>
      <c r="N67" s="108"/>
      <c r="O67" s="108"/>
    </row>
    <row r="68" spans="7:15" x14ac:dyDescent="0.25">
      <c r="G68" s="108"/>
      <c r="H68" s="108"/>
      <c r="I68" s="108"/>
      <c r="J68" s="108"/>
      <c r="K68" s="108"/>
      <c r="L68" s="108"/>
      <c r="M68" s="108"/>
      <c r="N68" s="108"/>
      <c r="O68" s="108"/>
    </row>
    <row r="69" spans="7:15" x14ac:dyDescent="0.25">
      <c r="G69" s="108"/>
      <c r="H69" s="108"/>
      <c r="I69" s="108"/>
      <c r="J69" s="108"/>
      <c r="K69" s="108"/>
      <c r="L69" s="108"/>
      <c r="M69" s="108"/>
      <c r="N69" s="108"/>
      <c r="O69" s="108"/>
    </row>
    <row r="70" spans="7:15" x14ac:dyDescent="0.25">
      <c r="G70" s="108"/>
      <c r="H70" s="108"/>
      <c r="I70" s="108"/>
      <c r="J70" s="108"/>
      <c r="K70" s="108"/>
      <c r="L70" s="108"/>
      <c r="M70" s="108"/>
      <c r="N70" s="108"/>
      <c r="O70" s="108"/>
    </row>
    <row r="71" spans="7:15" x14ac:dyDescent="0.25">
      <c r="G71" s="108"/>
      <c r="H71" s="108"/>
      <c r="I71" s="108"/>
      <c r="J71" s="108"/>
      <c r="K71" s="108"/>
      <c r="L71" s="108"/>
      <c r="M71" s="108"/>
      <c r="N71" s="108"/>
      <c r="O71" s="108"/>
    </row>
    <row r="72" spans="7:15" x14ac:dyDescent="0.25">
      <c r="G72" s="108"/>
      <c r="H72" s="108"/>
      <c r="I72" s="108"/>
      <c r="J72" s="108"/>
      <c r="K72" s="108"/>
      <c r="L72" s="108"/>
      <c r="M72" s="108"/>
      <c r="N72" s="108"/>
      <c r="O72" s="108"/>
    </row>
    <row r="73" spans="7:15" x14ac:dyDescent="0.25">
      <c r="G73" s="108"/>
      <c r="H73" s="108"/>
      <c r="I73" s="108"/>
      <c r="J73" s="108"/>
      <c r="K73" s="108"/>
      <c r="L73" s="108"/>
      <c r="M73" s="108"/>
      <c r="N73" s="108"/>
      <c r="O73" s="108"/>
    </row>
    <row r="74" spans="7:15" x14ac:dyDescent="0.25">
      <c r="G74" s="108"/>
      <c r="H74" s="108"/>
      <c r="I74" s="108"/>
      <c r="J74" s="108"/>
      <c r="K74" s="108"/>
      <c r="L74" s="108"/>
      <c r="M74" s="108"/>
      <c r="N74" s="108"/>
      <c r="O74" s="108"/>
    </row>
    <row r="75" spans="7:15" x14ac:dyDescent="0.25">
      <c r="G75" s="108"/>
      <c r="H75" s="108"/>
      <c r="I75" s="108"/>
      <c r="J75" s="108"/>
      <c r="K75" s="108"/>
      <c r="L75" s="108"/>
      <c r="M75" s="108"/>
      <c r="N75" s="108"/>
      <c r="O75" s="108"/>
    </row>
    <row r="76" spans="7:15" x14ac:dyDescent="0.25">
      <c r="G76" s="108"/>
      <c r="H76" s="108"/>
      <c r="I76" s="108"/>
      <c r="J76" s="108"/>
      <c r="K76" s="108"/>
      <c r="L76" s="108"/>
      <c r="M76" s="108"/>
      <c r="N76" s="108"/>
      <c r="O76" s="108"/>
    </row>
    <row r="77" spans="7:15" x14ac:dyDescent="0.25">
      <c r="G77" s="108"/>
      <c r="H77" s="108"/>
      <c r="I77" s="108"/>
      <c r="J77" s="108"/>
      <c r="K77" s="108"/>
      <c r="L77" s="108"/>
      <c r="M77" s="108"/>
      <c r="N77" s="108"/>
      <c r="O77" s="108"/>
    </row>
    <row r="78" spans="7:15" x14ac:dyDescent="0.25">
      <c r="G78" s="108"/>
      <c r="H78" s="108"/>
      <c r="I78" s="108"/>
      <c r="J78" s="108"/>
      <c r="K78" s="108"/>
      <c r="L78" s="108"/>
      <c r="M78" s="108"/>
      <c r="N78" s="108"/>
      <c r="O78" s="108"/>
    </row>
    <row r="79" spans="7:15" x14ac:dyDescent="0.25">
      <c r="G79" s="108"/>
      <c r="H79" s="108"/>
      <c r="I79" s="108"/>
      <c r="J79" s="108"/>
      <c r="K79" s="108"/>
      <c r="L79" s="108"/>
      <c r="M79" s="108"/>
      <c r="N79" s="108"/>
      <c r="O79" s="108"/>
    </row>
    <row r="80" spans="7:15" x14ac:dyDescent="0.25">
      <c r="G80" s="108"/>
      <c r="H80" s="108"/>
      <c r="I80" s="108"/>
      <c r="J80" s="108"/>
      <c r="K80" s="108"/>
      <c r="L80" s="108"/>
      <c r="M80" s="108"/>
      <c r="N80" s="108"/>
      <c r="O80" s="108"/>
    </row>
    <row r="81" spans="7:15" x14ac:dyDescent="0.25">
      <c r="G81" s="108"/>
      <c r="H81" s="108"/>
      <c r="I81" s="108"/>
      <c r="J81" s="108"/>
      <c r="K81" s="108"/>
      <c r="L81" s="108"/>
      <c r="M81" s="108"/>
      <c r="N81" s="108"/>
      <c r="O81" s="108"/>
    </row>
  </sheetData>
  <mergeCells count="1">
    <mergeCell ref="G1:O81"/>
  </mergeCells>
  <conditionalFormatting sqref="E1:E2">
    <cfRule type="containsText" dxfId="0" priority="1" operator="containsText" text="&lt;&gt;&quot;&quot;">
      <formula>NOT(ISERROR(SEARCH("&lt;&gt;""""",E1)))</formula>
    </cfRule>
  </conditionalFormatting>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&amp;CPágina &amp;P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AE78"/>
  <sheetViews>
    <sheetView zoomScaleNormal="100" workbookViewId="0">
      <pane ySplit="1" topLeftCell="A2" activePane="bottomLeft" state="frozen"/>
      <selection pane="bottomLeft"/>
    </sheetView>
  </sheetViews>
  <sheetFormatPr defaultColWidth="11.54296875" defaultRowHeight="12.5" x14ac:dyDescent="0.25"/>
  <cols>
    <col min="1" max="1" width="162.453125" customWidth="1"/>
  </cols>
  <sheetData>
    <row r="1" spans="1:1" s="55" customFormat="1" ht="53" customHeight="1" x14ac:dyDescent="0.35">
      <c r="A1" s="55" t="s">
        <v>42</v>
      </c>
    </row>
    <row r="3" spans="1:1" ht="40" x14ac:dyDescent="0.4">
      <c r="A3" s="56" t="s">
        <v>43</v>
      </c>
    </row>
    <row r="4" spans="1:1" ht="13" x14ac:dyDescent="0.3">
      <c r="A4" s="57" t="s">
        <v>44</v>
      </c>
    </row>
    <row r="5" spans="1:1" ht="13" x14ac:dyDescent="0.3">
      <c r="A5" s="58" t="s">
        <v>45</v>
      </c>
    </row>
    <row r="6" spans="1:1" ht="13" x14ac:dyDescent="0.3">
      <c r="A6" s="58" t="s">
        <v>46</v>
      </c>
    </row>
    <row r="7" spans="1:1" ht="15.5" x14ac:dyDescent="0.35">
      <c r="A7" s="58" t="s">
        <v>47</v>
      </c>
    </row>
    <row r="8" spans="1:1" ht="13" x14ac:dyDescent="0.3">
      <c r="A8" s="58" t="s">
        <v>48</v>
      </c>
    </row>
    <row r="10" spans="1:1" ht="13" x14ac:dyDescent="0.3">
      <c r="A10" s="59" t="s">
        <v>49</v>
      </c>
    </row>
    <row r="12" spans="1:1" ht="13" x14ac:dyDescent="0.3">
      <c r="A12" s="59" t="s">
        <v>50</v>
      </c>
    </row>
    <row r="13" spans="1:1" ht="13" x14ac:dyDescent="0.3">
      <c r="A13" s="59" t="s">
        <v>51</v>
      </c>
    </row>
    <row r="14" spans="1:1" ht="13" x14ac:dyDescent="0.3">
      <c r="A14" s="59" t="s">
        <v>52</v>
      </c>
    </row>
    <row r="16" spans="1:1" ht="13" x14ac:dyDescent="0.3">
      <c r="A16" s="59" t="s">
        <v>53</v>
      </c>
    </row>
    <row r="18" spans="1:31" ht="13" x14ac:dyDescent="0.3">
      <c r="A18" s="58" t="s">
        <v>54</v>
      </c>
    </row>
    <row r="20" spans="1:31" ht="13" x14ac:dyDescent="0.3">
      <c r="A20" s="59" t="s">
        <v>55</v>
      </c>
    </row>
    <row r="21" spans="1:31" ht="13" x14ac:dyDescent="0.3">
      <c r="A21" s="59" t="s">
        <v>56</v>
      </c>
    </row>
    <row r="22" spans="1:31" ht="13" x14ac:dyDescent="0.3">
      <c r="A22" s="59" t="s">
        <v>57</v>
      </c>
    </row>
    <row r="24" spans="1:31" ht="13" x14ac:dyDescent="0.3">
      <c r="A24" s="59" t="s">
        <v>58</v>
      </c>
    </row>
    <row r="26" spans="1:31" ht="13" x14ac:dyDescent="0.3">
      <c r="A26" s="58" t="s">
        <v>59</v>
      </c>
    </row>
    <row r="27" spans="1:31" ht="13" x14ac:dyDescent="0.3">
      <c r="A27" s="59" t="s">
        <v>60</v>
      </c>
    </row>
    <row r="28" spans="1:31" ht="13" x14ac:dyDescent="0.3">
      <c r="A28" s="59" t="s">
        <v>61</v>
      </c>
    </row>
    <row r="29" spans="1:31" ht="13" x14ac:dyDescent="0.3">
      <c r="A29" s="59" t="s">
        <v>62</v>
      </c>
    </row>
    <row r="30" spans="1:31" ht="13" x14ac:dyDescent="0.3">
      <c r="A30" s="58" t="s">
        <v>63</v>
      </c>
    </row>
    <row r="32" spans="1:31" s="60" customFormat="1" ht="17.5" x14ac:dyDescent="0.35">
      <c r="A32"/>
      <c r="B32"/>
      <c r="C32"/>
      <c r="D32"/>
      <c r="E32"/>
      <c r="F32"/>
      <c r="G32"/>
      <c r="H32"/>
      <c r="I32"/>
      <c r="J32"/>
      <c r="K32"/>
      <c r="L32"/>
      <c r="M32"/>
      <c r="N32"/>
      <c r="O32"/>
      <c r="P32"/>
      <c r="Q32"/>
      <c r="R32"/>
      <c r="S32"/>
      <c r="T32"/>
      <c r="U32"/>
      <c r="V32"/>
      <c r="W32"/>
      <c r="X32"/>
      <c r="Y32"/>
      <c r="Z32"/>
      <c r="AA32"/>
      <c r="AB32"/>
      <c r="AC32"/>
      <c r="AD32"/>
      <c r="AE32"/>
    </row>
    <row r="34" spans="1:31" ht="17.5" x14ac:dyDescent="0.35">
      <c r="A34" s="61" t="s">
        <v>64</v>
      </c>
      <c r="B34" s="60"/>
      <c r="C34" s="60"/>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row>
    <row r="36" spans="1:31" ht="13" x14ac:dyDescent="0.3">
      <c r="A36" s="58" t="s">
        <v>65</v>
      </c>
    </row>
    <row r="37" spans="1:31" ht="13" x14ac:dyDescent="0.3">
      <c r="A37" s="58" t="s">
        <v>66</v>
      </c>
    </row>
    <row r="38" spans="1:31" ht="13" x14ac:dyDescent="0.3">
      <c r="A38" s="58" t="s">
        <v>67</v>
      </c>
    </row>
    <row r="39" spans="1:31" ht="13" x14ac:dyDescent="0.3">
      <c r="A39" s="58" t="s">
        <v>68</v>
      </c>
    </row>
    <row r="40" spans="1:31" ht="13" x14ac:dyDescent="0.3">
      <c r="A40" s="58" t="s">
        <v>69</v>
      </c>
    </row>
    <row r="41" spans="1:31" ht="13" x14ac:dyDescent="0.3">
      <c r="A41" s="58" t="s">
        <v>70</v>
      </c>
    </row>
    <row r="42" spans="1:31" ht="13" x14ac:dyDescent="0.3">
      <c r="A42" s="58" t="s">
        <v>71</v>
      </c>
    </row>
    <row r="43" spans="1:31" ht="13" x14ac:dyDescent="0.3">
      <c r="A43" s="58" t="s">
        <v>72</v>
      </c>
    </row>
    <row r="44" spans="1:31" ht="13" x14ac:dyDescent="0.3">
      <c r="A44" s="58" t="s">
        <v>73</v>
      </c>
    </row>
    <row r="45" spans="1:31" ht="13" x14ac:dyDescent="0.3">
      <c r="A45" s="58" t="s">
        <v>74</v>
      </c>
    </row>
    <row r="46" spans="1:31" ht="13" x14ac:dyDescent="0.3">
      <c r="A46" s="58" t="s">
        <v>75</v>
      </c>
    </row>
    <row r="47" spans="1:31" ht="13" x14ac:dyDescent="0.3">
      <c r="A47" s="57"/>
    </row>
    <row r="48" spans="1:31" ht="13" x14ac:dyDescent="0.3">
      <c r="A48" s="62" t="s">
        <v>76</v>
      </c>
    </row>
    <row r="54" spans="1:1" ht="40" x14ac:dyDescent="0.4">
      <c r="A54" s="56" t="s">
        <v>77</v>
      </c>
    </row>
    <row r="56" spans="1:1" ht="15.5" x14ac:dyDescent="0.35">
      <c r="A56" s="63" t="s">
        <v>78</v>
      </c>
    </row>
    <row r="57" spans="1:1" ht="31" x14ac:dyDescent="0.35">
      <c r="A57" s="63" t="s">
        <v>79</v>
      </c>
    </row>
    <row r="58" spans="1:1" ht="31" x14ac:dyDescent="0.35">
      <c r="A58" s="63" t="s">
        <v>80</v>
      </c>
    </row>
    <row r="59" spans="1:1" ht="31" x14ac:dyDescent="0.35">
      <c r="A59" s="63" t="s">
        <v>81</v>
      </c>
    </row>
    <row r="60" spans="1:1" ht="15" x14ac:dyDescent="0.3">
      <c r="A60" s="64" t="s">
        <v>82</v>
      </c>
    </row>
    <row r="61" spans="1:1" ht="31" x14ac:dyDescent="0.35">
      <c r="A61" s="63" t="s">
        <v>83</v>
      </c>
    </row>
    <row r="62" spans="1:1" ht="31" x14ac:dyDescent="0.35">
      <c r="A62" s="63" t="s">
        <v>84</v>
      </c>
    </row>
    <row r="63" spans="1:1" ht="31" x14ac:dyDescent="0.35">
      <c r="A63" s="63" t="s">
        <v>85</v>
      </c>
    </row>
    <row r="64" spans="1:1" ht="15.5" x14ac:dyDescent="0.35">
      <c r="A64" s="63"/>
    </row>
    <row r="65" spans="1:1" ht="12.5" customHeight="1" x14ac:dyDescent="0.35">
      <c r="A65" s="63" t="s">
        <v>86</v>
      </c>
    </row>
    <row r="66" spans="1:1" ht="13" x14ac:dyDescent="0.3">
      <c r="A66" s="58"/>
    </row>
    <row r="67" spans="1:1" ht="13" x14ac:dyDescent="0.3">
      <c r="A67" s="58"/>
    </row>
    <row r="68" spans="1:1" ht="13" x14ac:dyDescent="0.3">
      <c r="A68" s="58"/>
    </row>
    <row r="69" spans="1:1" ht="13" x14ac:dyDescent="0.3">
      <c r="A69" s="58"/>
    </row>
    <row r="70" spans="1:1" ht="13" x14ac:dyDescent="0.3">
      <c r="A70" s="58"/>
    </row>
    <row r="71" spans="1:1" ht="13" x14ac:dyDescent="0.3">
      <c r="A71" s="58"/>
    </row>
    <row r="72" spans="1:1" ht="13" x14ac:dyDescent="0.3">
      <c r="A72" s="58"/>
    </row>
    <row r="73" spans="1:1" ht="13" x14ac:dyDescent="0.3">
      <c r="A73" s="58"/>
    </row>
    <row r="74" spans="1:1" ht="13" x14ac:dyDescent="0.3">
      <c r="A74" s="58"/>
    </row>
    <row r="75" spans="1:1" ht="13" x14ac:dyDescent="0.3">
      <c r="A75" s="58"/>
    </row>
    <row r="76" spans="1:1" ht="13" x14ac:dyDescent="0.3">
      <c r="A76" s="58"/>
    </row>
    <row r="77" spans="1:1" ht="13" x14ac:dyDescent="0.3">
      <c r="A77" s="57"/>
    </row>
    <row r="78" spans="1:1" ht="13" x14ac:dyDescent="0.3">
      <c r="A78" s="58"/>
    </row>
  </sheetData>
  <hyperlinks>
    <hyperlink ref="A12" r:id="rId1" display=" " xr:uid="{00000000-0004-0000-0300-000000000000}"/>
    <hyperlink ref="A48" r:id="rId2" xr:uid="{00000000-0004-0000-0300-000001000000}"/>
    <hyperlink ref="A57" r:id="rId3" display="Jusbrasil+1" xr:uid="{00000000-0004-0000-0300-000002000000}"/>
    <hyperlink ref="A58" r:id="rId4" display="direitodoempregado.com+1" xr:uid="{00000000-0004-0000-0300-000003000000}"/>
    <hyperlink ref="A59" r:id="rId5" display="genyo.com.br" xr:uid="{00000000-0004-0000-0300-000004000000}"/>
    <hyperlink ref="A61" r:id="rId6" display="direitodoempregado.com+1" xr:uid="{00000000-0004-0000-0300-000005000000}"/>
    <hyperlink ref="A62" r:id="rId7" display="guiatrabalhista.com.br+1" xr:uid="{00000000-0004-0000-0300-000006000000}"/>
  </hyperlinks>
  <pageMargins left="0.78749999999999998" right="0.78749999999999998" top="1.0249999999999999" bottom="1.0249999999999999" header="0.78749999999999998" footer="0.78749999999999998"/>
  <pageSetup paperSize="9" orientation="portrait" horizontalDpi="300" verticalDpi="300" r:id="rId8"/>
  <headerFooter>
    <oddHeader>&amp;C&amp;A</oddHeader>
    <oddFooter>&amp;CPágina &amp;P</oddFooter>
  </headerFooter>
  <drawing r:id="rId9"/>
  <legacyDrawing r:id="rId10"/>
  <mc:AlternateContent xmlns:mc="http://schemas.openxmlformats.org/markup-compatibility/2006">
    <mc:Choice Requires="x14">
      <controls>
        <mc:AlternateContent xmlns:mc="http://schemas.openxmlformats.org/markup-compatibility/2006">
          <mc:Choice Requires="x14">
            <control shapeId="4098" r:id="rId11" name="Botão de pressão 1">
              <controlPr defaultSize="0" autoPict="0">
                <anchor moveWithCells="1" sizeWithCells="1">
                  <from>
                    <xdr:col>0</xdr:col>
                    <xdr:colOff>0</xdr:colOff>
                    <xdr:row>45</xdr:row>
                    <xdr:rowOff>95250</xdr:rowOff>
                  </from>
                  <to>
                    <xdr:col>1</xdr:col>
                    <xdr:colOff>7029450</xdr:colOff>
                    <xdr:row>46</xdr:row>
                    <xdr:rowOff>69850</xdr:rowOff>
                  </to>
                </anchor>
              </controlPr>
            </control>
          </mc:Choice>
        </mc:AlternateContent>
        <mc:AlternateContent xmlns:mc="http://schemas.openxmlformats.org/markup-compatibility/2006">
          <mc:Choice Requires="x14">
            <control shapeId="4097" r:id="rId12" name="Botão de pressão 2">
              <controlPr defaultSize="0" autoPict="0">
                <anchor moveWithCells="1" sizeWithCells="1">
                  <from>
                    <xdr:col>0</xdr:col>
                    <xdr:colOff>0</xdr:colOff>
                    <xdr:row>45</xdr:row>
                    <xdr:rowOff>95250</xdr:rowOff>
                  </from>
                  <to>
                    <xdr:col>1</xdr:col>
                    <xdr:colOff>7029450</xdr:colOff>
                    <xdr:row>46</xdr:row>
                    <xdr:rowOff>69850</xdr:rowOff>
                  </to>
                </anchor>
              </controlPr>
            </control>
          </mc:Choice>
        </mc:AlternateContent>
        <mc:AlternateContent xmlns:mc="http://schemas.openxmlformats.org/markup-compatibility/2006">
          <mc:Choice Requires="x14">
            <control shapeId="4100" r:id="rId13" name="Button 4">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4099" r:id="rId14" name="Button 3">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4102" r:id="rId15" name="Button 6">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4101" r:id="rId16" name="Button 5">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4104" r:id="rId17" name="Button 8">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4103" r:id="rId18" name="Button 7">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1001" r:id="rId19" name="Button -23">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mc:AlternateContent xmlns:mc="http://schemas.openxmlformats.org/markup-compatibility/2006">
          <mc:Choice Requires="x14">
            <control shapeId="1002" r:id="rId20" name="Button -22">
              <controlPr defaultSize="0" autoFill="0" autoPict="0" altText="http://www.facebook.com/dialog/share?app_id=87741124305&amp;href=https%3A//youtube.com/watch%3Fv%3D4yoFPip3TaM%26si%3DuAaoR5OA3Ph1mT9k&amp;display=popup">
                <anchor moveWithCells="1">
                  <from>
                    <xdr:col>0</xdr:col>
                    <xdr:colOff>0</xdr:colOff>
                    <xdr:row>45</xdr:row>
                    <xdr:rowOff>146050</xdr:rowOff>
                  </from>
                  <to>
                    <xdr:col>1</xdr:col>
                    <xdr:colOff>-10547350</xdr:colOff>
                    <xdr:row>46</xdr:row>
                    <xdr:rowOff>107950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dimension ref="A1:A93"/>
  <sheetViews>
    <sheetView zoomScaleNormal="100" workbookViewId="0">
      <pane ySplit="1" topLeftCell="A2" activePane="bottomLeft" state="frozen"/>
      <selection pane="bottomLeft" activeCell="A93" sqref="A93"/>
    </sheetView>
  </sheetViews>
  <sheetFormatPr defaultColWidth="11.54296875" defaultRowHeight="12.5" x14ac:dyDescent="0.25"/>
  <cols>
    <col min="1" max="1" width="162.54296875" customWidth="1"/>
  </cols>
  <sheetData>
    <row r="1" spans="1:1" ht="45.5" customHeight="1" x14ac:dyDescent="0.4">
      <c r="A1" s="65" t="s">
        <v>87</v>
      </c>
    </row>
    <row r="2" spans="1:1" ht="30" x14ac:dyDescent="0.3">
      <c r="A2" s="66" t="s">
        <v>88</v>
      </c>
    </row>
    <row r="3" spans="1:1" ht="15" x14ac:dyDescent="0.3">
      <c r="A3" s="66" t="s">
        <v>89</v>
      </c>
    </row>
    <row r="4" spans="1:1" ht="46.5" x14ac:dyDescent="0.35">
      <c r="A4" s="63" t="s">
        <v>90</v>
      </c>
    </row>
    <row r="5" spans="1:1" ht="15" x14ac:dyDescent="0.3">
      <c r="A5" s="66" t="s">
        <v>91</v>
      </c>
    </row>
    <row r="6" spans="1:1" ht="15" x14ac:dyDescent="0.3">
      <c r="A6" s="66" t="s">
        <v>92</v>
      </c>
    </row>
    <row r="7" spans="1:1" ht="15" x14ac:dyDescent="0.3">
      <c r="A7" s="66" t="s">
        <v>93</v>
      </c>
    </row>
    <row r="8" spans="1:1" ht="15" x14ac:dyDescent="0.3">
      <c r="A8" s="66" t="s">
        <v>94</v>
      </c>
    </row>
    <row r="9" spans="1:1" ht="15" x14ac:dyDescent="0.3">
      <c r="A9" s="66" t="s">
        <v>95</v>
      </c>
    </row>
    <row r="10" spans="1:1" ht="15" x14ac:dyDescent="0.3">
      <c r="A10" s="66" t="s">
        <v>96</v>
      </c>
    </row>
    <row r="11" spans="1:1" ht="31" x14ac:dyDescent="0.35">
      <c r="A11" s="63" t="s">
        <v>97</v>
      </c>
    </row>
    <row r="12" spans="1:1" ht="15" x14ac:dyDescent="0.3">
      <c r="A12" s="66" t="s">
        <v>98</v>
      </c>
    </row>
    <row r="13" spans="1:1" ht="15" x14ac:dyDescent="0.3">
      <c r="A13" s="66" t="s">
        <v>99</v>
      </c>
    </row>
    <row r="14" spans="1:1" ht="15.5" x14ac:dyDescent="0.35">
      <c r="A14" s="63" t="s">
        <v>100</v>
      </c>
    </row>
    <row r="15" spans="1:1" ht="15.5" x14ac:dyDescent="0.35">
      <c r="A15" s="63" t="s">
        <v>101</v>
      </c>
    </row>
    <row r="16" spans="1:1" ht="15" x14ac:dyDescent="0.3">
      <c r="A16" s="66" t="s">
        <v>102</v>
      </c>
    </row>
    <row r="17" spans="1:1" ht="15.5" x14ac:dyDescent="0.35">
      <c r="A17" s="63" t="s">
        <v>103</v>
      </c>
    </row>
    <row r="18" spans="1:1" ht="15" x14ac:dyDescent="0.3">
      <c r="A18" s="66" t="s">
        <v>104</v>
      </c>
    </row>
    <row r="19" spans="1:1" ht="15" x14ac:dyDescent="0.3">
      <c r="A19" s="66" t="s">
        <v>105</v>
      </c>
    </row>
    <row r="20" spans="1:1" ht="15" x14ac:dyDescent="0.3">
      <c r="A20" s="66" t="s">
        <v>106</v>
      </c>
    </row>
    <row r="21" spans="1:1" ht="31" x14ac:dyDescent="0.35">
      <c r="A21" s="63" t="s">
        <v>107</v>
      </c>
    </row>
    <row r="24" spans="1:1" ht="20" x14ac:dyDescent="0.4">
      <c r="A24" s="67" t="s">
        <v>108</v>
      </c>
    </row>
    <row r="26" spans="1:1" ht="77.5" x14ac:dyDescent="0.35">
      <c r="A26" s="63" t="s">
        <v>109</v>
      </c>
    </row>
    <row r="28" spans="1:1" ht="20" x14ac:dyDescent="0.4">
      <c r="A28" s="68" t="s">
        <v>110</v>
      </c>
    </row>
    <row r="30" spans="1:1" ht="31" x14ac:dyDescent="0.35">
      <c r="A30" s="63" t="s">
        <v>111</v>
      </c>
    </row>
    <row r="31" spans="1:1" ht="15.5" x14ac:dyDescent="0.35">
      <c r="A31" s="63" t="s">
        <v>112</v>
      </c>
    </row>
    <row r="32" spans="1:1" ht="15.5" x14ac:dyDescent="0.35">
      <c r="A32" s="63" t="s">
        <v>113</v>
      </c>
    </row>
    <row r="33" spans="1:1" ht="15.5" x14ac:dyDescent="0.35">
      <c r="A33" s="63" t="s">
        <v>114</v>
      </c>
    </row>
    <row r="34" spans="1:1" ht="15.5" x14ac:dyDescent="0.35">
      <c r="A34" s="63" t="s">
        <v>115</v>
      </c>
    </row>
    <row r="35" spans="1:1" ht="15.5" x14ac:dyDescent="0.35">
      <c r="A35" s="69" t="s">
        <v>116</v>
      </c>
    </row>
    <row r="36" spans="1:1" ht="46.5" x14ac:dyDescent="0.35">
      <c r="A36" s="63" t="s">
        <v>117</v>
      </c>
    </row>
    <row r="37" spans="1:1" ht="31" x14ac:dyDescent="0.35">
      <c r="A37" s="63" t="s">
        <v>118</v>
      </c>
    </row>
    <row r="39" spans="1:1" ht="20" x14ac:dyDescent="0.4">
      <c r="A39" s="65" t="s">
        <v>119</v>
      </c>
    </row>
    <row r="41" spans="1:1" ht="15.5" x14ac:dyDescent="0.35">
      <c r="A41" s="63" t="s">
        <v>120</v>
      </c>
    </row>
    <row r="42" spans="1:1" ht="15.5" x14ac:dyDescent="0.35">
      <c r="A42" s="63" t="s">
        <v>121</v>
      </c>
    </row>
    <row r="43" spans="1:1" ht="62" x14ac:dyDescent="0.35">
      <c r="A43" s="63" t="s">
        <v>122</v>
      </c>
    </row>
    <row r="45" spans="1:1" ht="18" x14ac:dyDescent="0.4">
      <c r="A45" s="70" t="s">
        <v>123</v>
      </c>
    </row>
    <row r="47" spans="1:1" ht="31" x14ac:dyDescent="0.35">
      <c r="A47" s="63" t="s">
        <v>124</v>
      </c>
    </row>
    <row r="48" spans="1:1" ht="15.5" x14ac:dyDescent="0.35">
      <c r="A48" s="63" t="s">
        <v>125</v>
      </c>
    </row>
    <row r="49" spans="1:1" ht="46.5" x14ac:dyDescent="0.35">
      <c r="A49" s="63" t="s">
        <v>126</v>
      </c>
    </row>
    <row r="50" spans="1:1" ht="15.5" x14ac:dyDescent="0.35">
      <c r="A50" s="63" t="s">
        <v>127</v>
      </c>
    </row>
    <row r="51" spans="1:1" ht="15.5" x14ac:dyDescent="0.35">
      <c r="A51" s="63" t="s">
        <v>128</v>
      </c>
    </row>
    <row r="52" spans="1:1" ht="15.5" x14ac:dyDescent="0.35">
      <c r="A52" s="63" t="s">
        <v>129</v>
      </c>
    </row>
    <row r="53" spans="1:1" ht="15.5" x14ac:dyDescent="0.35">
      <c r="A53" s="63" t="s">
        <v>130</v>
      </c>
    </row>
    <row r="54" spans="1:1" ht="15.5" x14ac:dyDescent="0.35">
      <c r="A54" s="63" t="s">
        <v>131</v>
      </c>
    </row>
    <row r="55" spans="1:1" ht="15.5" x14ac:dyDescent="0.35">
      <c r="A55" s="63" t="s">
        <v>132</v>
      </c>
    </row>
    <row r="56" spans="1:1" ht="15.5" x14ac:dyDescent="0.35">
      <c r="A56" s="63" t="s">
        <v>133</v>
      </c>
    </row>
    <row r="57" spans="1:1" ht="31" x14ac:dyDescent="0.35">
      <c r="A57" s="63" t="s">
        <v>134</v>
      </c>
    </row>
    <row r="59" spans="1:1" ht="18" x14ac:dyDescent="0.4">
      <c r="A59" s="70" t="s">
        <v>135</v>
      </c>
    </row>
    <row r="61" spans="1:1" ht="264" x14ac:dyDescent="0.25">
      <c r="A61" s="71" t="s">
        <v>136</v>
      </c>
    </row>
    <row r="62" spans="1:1" ht="20" x14ac:dyDescent="0.4">
      <c r="A62" s="65" t="s">
        <v>137</v>
      </c>
    </row>
    <row r="64" spans="1:1" ht="337.5" x14ac:dyDescent="0.25">
      <c r="A64" s="72" t="s">
        <v>138</v>
      </c>
    </row>
    <row r="66" spans="1:1" ht="18" x14ac:dyDescent="0.4">
      <c r="A66" s="70" t="s">
        <v>139</v>
      </c>
    </row>
    <row r="68" spans="1:1" ht="31" x14ac:dyDescent="0.35">
      <c r="A68" s="63" t="s">
        <v>140</v>
      </c>
    </row>
    <row r="69" spans="1:1" ht="31" x14ac:dyDescent="0.35">
      <c r="A69" s="73" t="s">
        <v>141</v>
      </c>
    </row>
    <row r="70" spans="1:1" ht="31" x14ac:dyDescent="0.35">
      <c r="A70" s="63" t="s">
        <v>142</v>
      </c>
    </row>
    <row r="71" spans="1:1" ht="15" x14ac:dyDescent="0.3">
      <c r="A71" s="66" t="s">
        <v>143</v>
      </c>
    </row>
    <row r="72" spans="1:1" ht="45" x14ac:dyDescent="0.3">
      <c r="A72" s="66" t="s">
        <v>144</v>
      </c>
    </row>
    <row r="73" spans="1:1" ht="30" x14ac:dyDescent="0.3">
      <c r="A73" s="66" t="s">
        <v>145</v>
      </c>
    </row>
    <row r="74" spans="1:1" ht="30" x14ac:dyDescent="0.3">
      <c r="A74" s="66" t="s">
        <v>146</v>
      </c>
    </row>
    <row r="75" spans="1:1" ht="30" x14ac:dyDescent="0.3">
      <c r="A75" s="66" t="s">
        <v>147</v>
      </c>
    </row>
    <row r="76" spans="1:1" ht="30" x14ac:dyDescent="0.3">
      <c r="A76" s="66" t="s">
        <v>148</v>
      </c>
    </row>
    <row r="77" spans="1:1" ht="30" x14ac:dyDescent="0.3">
      <c r="A77" s="66" t="s">
        <v>149</v>
      </c>
    </row>
    <row r="78" spans="1:1" ht="15" x14ac:dyDescent="0.3">
      <c r="A78" s="66" t="s">
        <v>150</v>
      </c>
    </row>
    <row r="79" spans="1:1" ht="15.5" x14ac:dyDescent="0.35">
      <c r="A79" s="63" t="s">
        <v>151</v>
      </c>
    </row>
    <row r="80" spans="1:1" ht="15" x14ac:dyDescent="0.3">
      <c r="A80" s="66" t="s">
        <v>152</v>
      </c>
    </row>
    <row r="81" spans="1:1" ht="15.5" x14ac:dyDescent="0.35">
      <c r="A81" s="63" t="s">
        <v>153</v>
      </c>
    </row>
    <row r="82" spans="1:1" ht="15.5" x14ac:dyDescent="0.35">
      <c r="A82" s="63" t="s">
        <v>154</v>
      </c>
    </row>
    <row r="83" spans="1:1" ht="15.5" x14ac:dyDescent="0.35">
      <c r="A83" s="63" t="s">
        <v>155</v>
      </c>
    </row>
    <row r="84" spans="1:1" ht="15.5" x14ac:dyDescent="0.35">
      <c r="A84" s="63" t="s">
        <v>156</v>
      </c>
    </row>
    <row r="85" spans="1:1" ht="15.5" x14ac:dyDescent="0.35">
      <c r="A85" s="63" t="s">
        <v>157</v>
      </c>
    </row>
    <row r="86" spans="1:1" ht="15.5" x14ac:dyDescent="0.35">
      <c r="A86" s="63" t="s">
        <v>158</v>
      </c>
    </row>
    <row r="87" spans="1:1" ht="45" x14ac:dyDescent="0.3">
      <c r="A87" s="66" t="s">
        <v>159</v>
      </c>
    </row>
    <row r="88" spans="1:1" ht="15" x14ac:dyDescent="0.3">
      <c r="A88" s="66" t="s">
        <v>160</v>
      </c>
    </row>
    <row r="89" spans="1:1" ht="45" x14ac:dyDescent="0.3">
      <c r="A89" s="66" t="s">
        <v>161</v>
      </c>
    </row>
    <row r="90" spans="1:1" ht="30" x14ac:dyDescent="0.3">
      <c r="A90" s="66" t="s">
        <v>162</v>
      </c>
    </row>
    <row r="91" spans="1:1" ht="30" x14ac:dyDescent="0.3">
      <c r="A91" s="66" t="s">
        <v>163</v>
      </c>
    </row>
    <row r="92" spans="1:1" ht="31" x14ac:dyDescent="0.35">
      <c r="A92" s="63" t="s">
        <v>164</v>
      </c>
    </row>
    <row r="93" spans="1:1" ht="31" x14ac:dyDescent="0.35">
      <c r="A93" s="63" t="s">
        <v>165</v>
      </c>
    </row>
  </sheetData>
  <hyperlinks>
    <hyperlink ref="A6" r:id="rId1" display="Pontotel" xr:uid="{00000000-0004-0000-0400-000000000000}"/>
    <hyperlink ref="A7" r:id="rId2" display="Pontotel+1" xr:uid="{00000000-0004-0000-0400-000001000000}"/>
    <hyperlink ref="A8" r:id="rId3" display="solides.com.br+1" xr:uid="{00000000-0004-0000-0400-000002000000}"/>
    <hyperlink ref="A9" r:id="rId4" display="galvaoesilva.com" xr:uid="{00000000-0004-0000-0400-000003000000}"/>
    <hyperlink ref="A11" r:id="rId5" display="Jusbrasil+1" xr:uid="{00000000-0004-0000-0400-000004000000}"/>
    <hyperlink ref="A13" r:id="rId6" display="solides.com.br+1" xr:uid="{00000000-0004-0000-0400-000005000000}"/>
    <hyperlink ref="A14" r:id="rId7" display="galvaoesilva.com" xr:uid="{00000000-0004-0000-0400-000006000000}"/>
    <hyperlink ref="A15" r:id="rId8" display="solides.com.br" xr:uid="{00000000-0004-0000-0400-000007000000}"/>
    <hyperlink ref="A20" r:id="rId9" display="Pontotel+1" xr:uid="{00000000-0004-0000-0400-000008000000}"/>
    <hyperlink ref="A35" r:id="rId10" xr:uid="{00000000-0004-0000-0400-000009000000}"/>
    <hyperlink ref="A43" r:id="rId11" display="ambitojuridico.com.br+2" xr:uid="{00000000-0004-0000-0400-00000A000000}"/>
    <hyperlink ref="A56" r:id="rId12" display="Jusbrasil+2" xr:uid="{00000000-0004-0000-0400-00000B000000}"/>
  </hyperlinks>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&amp;CPágina &amp;P</oddFooter>
  </headerFooter>
  <drawing r:id="rId13"/>
</worksheet>
</file>

<file path=docProps/app.xml><?xml version="1.0" encoding="utf-8"?>
<Properties xmlns="http://schemas.openxmlformats.org/officeDocument/2006/extended-properties" xmlns:vt="http://schemas.openxmlformats.org/officeDocument/2006/docPropsVTypes">
  <Template/>
  <TotalTime>1833</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7</vt:i4>
      </vt:variant>
    </vt:vector>
  </HeadingPairs>
  <TitlesOfParts>
    <vt:vector size="12" baseType="lpstr">
      <vt:lpstr>MENU</vt:lpstr>
      <vt:lpstr>VALE TRANSPORTES CÁLCULO</vt:lpstr>
      <vt:lpstr>RELATÓRIO VALES</vt:lpstr>
      <vt:lpstr>CLT - TÓPICOS IMPORTANTES</vt:lpstr>
      <vt:lpstr>ATOS JUSTA CAUSA - Descritivo</vt:lpstr>
      <vt:lpstr>'RELATÓRIO VALES'!Area_de_impressao</vt:lpstr>
      <vt:lpstr>CLT_USO_INDEVIDO_VT</vt:lpstr>
      <vt:lpstr>DEMISSÃO_JUSTA_CAUSA</vt:lpstr>
      <vt:lpstr>JUSTA_CAUSA_Descritivo</vt:lpstr>
      <vt:lpstr>LANCHE_REFEIÇÃO</vt:lpstr>
      <vt:lpstr>PRINCIPAL_LANÇAMENTO</vt:lpstr>
      <vt:lpstr>RELATORIO_VT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Dilas</dc:creator>
  <dc:description/>
  <cp:lastModifiedBy>Dilas</cp:lastModifiedBy>
  <cp:revision>78</cp:revision>
  <cp:lastPrinted>2026-06-29T00:03:43Z</cp:lastPrinted>
  <dcterms:created xsi:type="dcterms:W3CDTF">2026-06-26T14:57:56Z</dcterms:created>
  <dcterms:modified xsi:type="dcterms:W3CDTF">2026-07-22T22:53:27Z</dcterms:modified>
  <dc:language>pt-BR</dc:language>
</cp:coreProperties>
</file>